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trioscollege-my.sharepoint.com/personal/sana_rehman_triosstudent_com/Documents/Contoso project/"/>
    </mc:Choice>
  </mc:AlternateContent>
  <xr:revisionPtr revIDLastSave="179" documentId="8_{695B768D-D8C2-4152-A778-E0DBA30380A3}" xr6:coauthVersionLast="47" xr6:coauthVersionMax="47" xr10:uidLastSave="{923A1F28-D5D7-44D7-AFBA-E728871E7687}"/>
  <bookViews>
    <workbookView xWindow="-110" yWindow="-110" windowWidth="19420" windowHeight="10300" tabRatio="500" xr2:uid="{00000000-000D-0000-FFFF-FFFF00000000}"/>
  </bookViews>
  <sheets>
    <sheet name="WBS Dictionary" sheetId="2" r:id="rId1"/>
    <sheet name="- Disclaimer -" sheetId="3" r:id="rId2"/>
  </sheets>
  <externalReferences>
    <externalReference r:id="rId3"/>
  </externalReferences>
  <definedNames>
    <definedName name="Type">'[1]Maintenance Work Order'!#REF!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40" i="2" l="1"/>
  <c r="G23" i="2"/>
</calcChain>
</file>

<file path=xl/sharedStrings.xml><?xml version="1.0" encoding="utf-8"?>
<sst xmlns="http://schemas.openxmlformats.org/spreadsheetml/2006/main" count="726" uniqueCount="566">
  <si>
    <t>WORK BREAKDOWN STRUCTURE DICTIONARY</t>
  </si>
  <si>
    <t>PROJECT TITLE</t>
  </si>
  <si>
    <t>PROJECT ID</t>
  </si>
  <si>
    <t>COMPANY</t>
  </si>
  <si>
    <t>PROJECT MANAGER</t>
  </si>
  <si>
    <t>DATE</t>
  </si>
  <si>
    <t>VERSION</t>
  </si>
  <si>
    <t>1.0.0</t>
  </si>
  <si>
    <t>TASK ID</t>
  </si>
  <si>
    <t>TASK DESCRIPTION</t>
  </si>
  <si>
    <t>DEPENDENT UPON</t>
  </si>
  <si>
    <t>TASK OWNER</t>
  </si>
  <si>
    <t>TASK RESOURCES</t>
  </si>
  <si>
    <t>TASK STATUS</t>
  </si>
  <si>
    <t>ESTIMATED COST</t>
  </si>
  <si>
    <t>BEGIN DATE</t>
  </si>
  <si>
    <t>ESTIMATED DATE OF COMPLETION</t>
  </si>
  <si>
    <t>ACTUAL DATE OF COMPLETION</t>
  </si>
  <si>
    <t>ADDITIONAL INFO</t>
  </si>
  <si>
    <t>1.1.1</t>
  </si>
  <si>
    <t>1.1.2</t>
  </si>
  <si>
    <t>1.2.1</t>
  </si>
  <si>
    <t>1.2.2</t>
  </si>
  <si>
    <t>1.3.1</t>
  </si>
  <si>
    <t>1.3.2</t>
  </si>
  <si>
    <t>2.1.1</t>
  </si>
  <si>
    <t>2.1.2</t>
  </si>
  <si>
    <t>3.1.1</t>
  </si>
  <si>
    <t>3.1.2</t>
  </si>
  <si>
    <t>3.1.3</t>
  </si>
  <si>
    <t>3.1.4</t>
  </si>
  <si>
    <t>3.2.1</t>
  </si>
  <si>
    <t>3.2.2</t>
  </si>
  <si>
    <t>3.3.1</t>
  </si>
  <si>
    <t>3.3.2</t>
  </si>
  <si>
    <t>4.1.1</t>
  </si>
  <si>
    <t>4.1.2</t>
  </si>
  <si>
    <t>4.2.1</t>
  </si>
  <si>
    <t>4.2.2</t>
  </si>
  <si>
    <t>4.3.1</t>
  </si>
  <si>
    <t>4.3.2</t>
  </si>
  <si>
    <t>ESTIMATED TOTAL</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</si>
  <si>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</si>
  <si>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4.4.1</t>
  </si>
  <si>
    <t>4.4.2</t>
  </si>
  <si>
    <t>4.5.1</t>
  </si>
  <si>
    <t>4.5.2</t>
  </si>
  <si>
    <t>Develop project charter</t>
  </si>
  <si>
    <t>Define goals and objectives</t>
  </si>
  <si>
    <t>Identify business drivers</t>
  </si>
  <si>
    <t>Identify stakeholders</t>
  </si>
  <si>
    <t>1.4.1</t>
  </si>
  <si>
    <t>1.4.2</t>
  </si>
  <si>
    <t>1.5.1</t>
  </si>
  <si>
    <t>1.5.2</t>
  </si>
  <si>
    <t>1.6.1</t>
  </si>
  <si>
    <t>1.6.2</t>
  </si>
  <si>
    <t>1.7.1</t>
  </si>
  <si>
    <t>1.7.2</t>
  </si>
  <si>
    <t>2.2.1</t>
  </si>
  <si>
    <t>2.2.2</t>
  </si>
  <si>
    <t>2.3.1</t>
  </si>
  <si>
    <t>2.3.2</t>
  </si>
  <si>
    <t>2.4.1</t>
  </si>
  <si>
    <t>2.4.2</t>
  </si>
  <si>
    <t>2.5.2</t>
  </si>
  <si>
    <t>2.5.1</t>
  </si>
  <si>
    <t>3.4.1</t>
  </si>
  <si>
    <t>3.4.2</t>
  </si>
  <si>
    <t>3.5.1</t>
  </si>
  <si>
    <t>3.5.2</t>
  </si>
  <si>
    <t>Departmental leads</t>
  </si>
  <si>
    <t>Define project scope</t>
  </si>
  <si>
    <t>In-scope items</t>
  </si>
  <si>
    <t>Out-of-scope items</t>
  </si>
  <si>
    <t>Create project schedule</t>
  </si>
  <si>
    <t>Define milestones</t>
  </si>
  <si>
    <t>Establish deadlines</t>
  </si>
  <si>
    <t xml:space="preserve"> Track hardware costs</t>
  </si>
  <si>
    <t>Monitor labor costs</t>
  </si>
  <si>
    <t>Stakeholder updates</t>
  </si>
  <si>
    <t>Final approval</t>
  </si>
  <si>
    <t>Inventory and Compatibility Assessment</t>
  </si>
  <si>
    <t>Gather hardware inventory from all offices</t>
  </si>
  <si>
    <t>Regional inventory collection</t>
  </si>
  <si>
    <t>Centralized database update</t>
  </si>
  <si>
    <t>Create replacement list</t>
  </si>
  <si>
    <t>Document compatibility results</t>
  </si>
  <si>
    <t>Generate reports by region</t>
  </si>
  <si>
    <t>Compile data</t>
  </si>
  <si>
    <t>Laptop specs</t>
  </si>
  <si>
    <t>Issue purchase orders</t>
  </si>
  <si>
    <t>Confirm availability</t>
  </si>
  <si>
    <t xml:space="preserve"> Prepare imaging and configuration tools</t>
  </si>
  <si>
    <t xml:space="preserve"> Build standard OS image</t>
  </si>
  <si>
    <t xml:space="preserve"> Automate backup scripts</t>
  </si>
  <si>
    <t>5.1.1.</t>
  </si>
  <si>
    <t>5.1.2</t>
  </si>
  <si>
    <t>5.3.1</t>
  </si>
  <si>
    <t>5.2.1</t>
  </si>
  <si>
    <t>5.2.2</t>
  </si>
  <si>
    <t>6.2.2.</t>
  </si>
  <si>
    <t>5.3.2</t>
  </si>
  <si>
    <t>5.4.1</t>
  </si>
  <si>
    <t>5.4.2</t>
  </si>
  <si>
    <t>5.5.1</t>
  </si>
  <si>
    <t>5.5.2</t>
  </si>
  <si>
    <t>Schedule upgrade</t>
  </si>
  <si>
    <t>Monitor for issues</t>
  </si>
  <si>
    <t>Replace legacy systems with new hardware</t>
  </si>
  <si>
    <t>Set up new devices</t>
  </si>
  <si>
    <t>Transfer user roles</t>
  </si>
  <si>
    <t>Restore user data and profiles</t>
  </si>
  <si>
    <t>Run restore utility</t>
  </si>
  <si>
    <t>Executive stakeholders</t>
  </si>
  <si>
    <t>Manage project budget</t>
  </si>
  <si>
    <t>Monitor and report progress</t>
  </si>
  <si>
    <t>Weekly reports</t>
  </si>
  <si>
    <t>Final sign-off and closeout</t>
  </si>
  <si>
    <t>Review deliverables</t>
  </si>
  <si>
    <t>CPU and TPM validation</t>
  </si>
  <si>
    <t>Memory and disk check</t>
  </si>
  <si>
    <t>Identify systems for upgrade vs. replacement</t>
  </si>
  <si>
    <t>Identify upgrade-ready systems</t>
  </si>
  <si>
    <t>Submit to management</t>
  </si>
  <si>
    <t>Submit assessment report</t>
  </si>
  <si>
    <t>Final review and submission</t>
  </si>
  <si>
    <t>Procurement and Licensing</t>
  </si>
  <si>
    <t>Define hardware specifications</t>
  </si>
  <si>
    <t>Desktop specs</t>
  </si>
  <si>
    <t>Select and approve vendors</t>
  </si>
  <si>
    <t>Solicit quotes</t>
  </si>
  <si>
    <t>Evaluate proposals</t>
  </si>
  <si>
    <t>Purchase 1,200 new Windows 11-compatible systems</t>
  </si>
  <si>
    <t>Confirm delivery schedule</t>
  </si>
  <si>
    <t>Acquire Microsoft Volume Licensing</t>
  </si>
  <si>
    <t>Validate licensing needs</t>
  </si>
  <si>
    <t>Finalize agreement</t>
  </si>
  <si>
    <t>Receive and verify shipments</t>
  </si>
  <si>
    <t>Inspect hardware</t>
  </si>
  <si>
    <t>Update asset inventory</t>
  </si>
  <si>
    <t>Develop deployment strategy and schedule</t>
  </si>
  <si>
    <t>Create regional rollout plan</t>
  </si>
  <si>
    <t>Align with business priorities</t>
  </si>
  <si>
    <t>Assign regional IT leads</t>
  </si>
  <si>
    <t>Define responsibilities</t>
  </si>
  <si>
    <t>Test configuration settings</t>
  </si>
  <si>
    <t>Set up centralized deployment tools (MECM/WDS)</t>
  </si>
  <si>
    <t>Install and configure servers</t>
  </si>
  <si>
    <t>Validate deployment pipeline</t>
  </si>
  <si>
    <t>Prepare backup and recovery solutions</t>
  </si>
  <si>
    <t>Select tools and methods</t>
  </si>
  <si>
    <t>Test restore process</t>
  </si>
  <si>
    <t>Backup user data and profiles</t>
  </si>
  <si>
    <t>Store data securely</t>
  </si>
  <si>
    <t>Deploy Windows 11 on compatible systems</t>
  </si>
  <si>
    <t>Verify user access</t>
  </si>
  <si>
    <t>Verify system functionality and network access</t>
  </si>
  <si>
    <t>Test software and connections</t>
  </si>
  <si>
    <t>Confirm user satisfaction</t>
  </si>
  <si>
    <t>6.1.1</t>
  </si>
  <si>
    <t>6.1.2</t>
  </si>
  <si>
    <t>6.2.2</t>
  </si>
  <si>
    <t>6.3.1</t>
  </si>
  <si>
    <t>6.3.2</t>
  </si>
  <si>
    <t>6.4.1</t>
  </si>
  <si>
    <t>6.4.2</t>
  </si>
  <si>
    <t>6.5.1</t>
  </si>
  <si>
    <t>6.5.2</t>
  </si>
  <si>
    <t>Develop training materials and user guides</t>
  </si>
  <si>
    <t>Create multilingual content</t>
  </si>
  <si>
    <t>Develop role-based guides</t>
  </si>
  <si>
    <t>Schedule training sessions</t>
  </si>
  <si>
    <t>Coordinate with departments</t>
  </si>
  <si>
    <t>Send invites and materials</t>
  </si>
  <si>
    <t>Deliver live or virtual training sessions</t>
  </si>
  <si>
    <t>Conduct instructor-led sessions</t>
  </si>
  <si>
    <t>Provide self-paced modules</t>
  </si>
  <si>
    <t>Provide multilingual support (EN, FR, SP, MAN)</t>
  </si>
  <si>
    <t>Translate documents</t>
  </si>
  <si>
    <t>Staff language-specific support</t>
  </si>
  <si>
    <t>Distribute documentation and FAQs</t>
  </si>
  <si>
    <t>Email digital copies</t>
  </si>
  <si>
    <t>Upload to company portal</t>
  </si>
  <si>
    <t>7.1.1</t>
  </si>
  <si>
    <t>7.1.2</t>
  </si>
  <si>
    <t>7.2.1</t>
  </si>
  <si>
    <t>7.2.2</t>
  </si>
  <si>
    <t>7.3.1</t>
  </si>
  <si>
    <t>7.3.2</t>
  </si>
  <si>
    <t>7.4.1</t>
  </si>
  <si>
    <t>7.4.2</t>
  </si>
  <si>
    <t>7.5.1</t>
  </si>
  <si>
    <t>7.5.2</t>
  </si>
  <si>
    <t>Conduct User Acceptance Testing (UAT)</t>
  </si>
  <si>
    <t>Define test cases</t>
  </si>
  <si>
    <t>Collect test results</t>
  </si>
  <si>
    <t>Collect feedback and resolve post-deployment issues</t>
  </si>
  <si>
    <t>Open feedback channels</t>
  </si>
  <si>
    <t>Track and resolve tickets</t>
  </si>
  <si>
    <t>Monitor system performance</t>
  </si>
  <si>
    <t>Track KPIs</t>
  </si>
  <si>
    <t>Log incidents</t>
  </si>
  <si>
    <t>Provide IT helpdesk and on-site support</t>
  </si>
  <si>
    <t>Staff helpdesk</t>
  </si>
  <si>
    <t>Schedule onsite assistance</t>
  </si>
  <si>
    <t>Final system verification</t>
  </si>
  <si>
    <t>Conduct walkthroughs</t>
  </si>
  <si>
    <t>Confirm readiness with users</t>
  </si>
  <si>
    <t>8.1.1</t>
  </si>
  <si>
    <t>8.1.2</t>
  </si>
  <si>
    <t>8.2.1</t>
  </si>
  <si>
    <t>8.2.2</t>
  </si>
  <si>
    <t>8.3.1</t>
  </si>
  <si>
    <t>8.3.2</t>
  </si>
  <si>
    <t>8.4.1</t>
  </si>
  <si>
    <t>8.4.2</t>
  </si>
  <si>
    <t>Collect and inventory old systems</t>
  </si>
  <si>
    <t>Tag devices</t>
  </si>
  <si>
    <t>Record serial numbers</t>
  </si>
  <si>
    <t>Wipe data securely</t>
  </si>
  <si>
    <t>Use certified tools</t>
  </si>
  <si>
    <t>Document data erasure</t>
  </si>
  <si>
    <t>Recycle or dispose of hardware per policy</t>
  </si>
  <si>
    <t>Work with recycling vendor</t>
  </si>
  <si>
    <t>Provide proof of disposal</t>
  </si>
  <si>
    <t>Update asset management records</t>
  </si>
  <si>
    <t>Remove decommissioned devices</t>
  </si>
  <si>
    <t>Update lifecycle status</t>
  </si>
  <si>
    <t>9.1.1</t>
  </si>
  <si>
    <t>9.1.2</t>
  </si>
  <si>
    <t>9.2.1</t>
  </si>
  <si>
    <t>9.2.2</t>
  </si>
  <si>
    <t>9.3.1</t>
  </si>
  <si>
    <t>9.3.2'</t>
  </si>
  <si>
    <t>Final review and evaluation</t>
  </si>
  <si>
    <t>Conduct performance review</t>
  </si>
  <si>
    <t>Identify success criteria met</t>
  </si>
  <si>
    <t>Obtain sign-off from stakeholders</t>
  </si>
  <si>
    <t>Schedule final presentation</t>
  </si>
  <si>
    <t>Get written approval</t>
  </si>
  <si>
    <t>Archive documentation and reports</t>
  </si>
  <si>
    <t>Save project files securely</t>
  </si>
  <si>
    <t>Notify IT and management</t>
  </si>
  <si>
    <t>Conduct lessons learned session</t>
  </si>
  <si>
    <t>Host debrief meeting</t>
  </si>
  <si>
    <t>Compile lessons learned document</t>
  </si>
  <si>
    <t>CONT-11</t>
  </si>
  <si>
    <t>CONTOSO CONSULTING</t>
  </si>
  <si>
    <t>Sana Rehman| sana.rehman@triosstudent.cm</t>
  </si>
  <si>
    <t>April 10th, 20205</t>
  </si>
  <si>
    <t>PMO team</t>
  </si>
  <si>
    <t>Used CloudFunds template</t>
  </si>
  <si>
    <t>Referenced stakeholder vision</t>
  </si>
  <si>
    <t>Based on Windows 11 need</t>
  </si>
  <si>
    <t>Org-wide identification</t>
  </si>
  <si>
    <t>Includes CIO, CTO</t>
  </si>
  <si>
    <t>Across all departments</t>
  </si>
  <si>
    <t>Includes in-scope/out-of-scope</t>
  </si>
  <si>
    <t>Hardware, training, licenses</t>
  </si>
  <si>
    <t>Not covered: mobile upgrades</t>
  </si>
  <si>
    <t>For Gantt chart</t>
  </si>
  <si>
    <t>Includes hardware &amp; labor</t>
  </si>
  <si>
    <t>weekly updates</t>
  </si>
  <si>
    <t>Final report + review</t>
  </si>
  <si>
    <t>2.2.2.</t>
  </si>
  <si>
    <t>IT Staff, Inventory Tools</t>
  </si>
  <si>
    <t>Excel, Lansweeper</t>
  </si>
  <si>
    <t>SharePoint, SQL Server</t>
  </si>
  <si>
    <t>Microsoft Compatibility Tool</t>
  </si>
  <si>
    <t>PowerShell Scripts, Microsoft Docs</t>
  </si>
  <si>
    <t>Assessment Scripts</t>
  </si>
  <si>
    <t>Assessment Reports</t>
  </si>
  <si>
    <t>Excel, Assessment Data</t>
  </si>
  <si>
    <t>Reports, Upgrade Criteria</t>
  </si>
  <si>
    <t>Microsoft Word, SharePoint</t>
  </si>
  <si>
    <t>Excel, Reporting Template</t>
  </si>
  <si>
    <t>Email, SharePoint</t>
  </si>
  <si>
    <t>Final Report Template</t>
  </si>
  <si>
    <t>Inventory Data, Reports</t>
  </si>
  <si>
    <t>Review Checklist</t>
  </si>
  <si>
    <t>Includes coordinating with global offices.</t>
  </si>
  <si>
    <t>Data gathered per site location.</t>
  </si>
  <si>
    <t>All inventory uploaded to central system.</t>
  </si>
  <si>
    <t>Analyzing all system specs against Windows 11 requirements.</t>
  </si>
  <si>
    <t>Verifying CPU generation and TPM 2.0 support.</t>
  </si>
  <si>
    <t>Ensure minimum 4GB RAM and 64GB storage.</t>
  </si>
  <si>
    <t>Based on compatibility outcomes.</t>
  </si>
  <si>
    <t>List devices not meeting Windows 11 specs.</t>
  </si>
  <si>
    <t>Filter systems that meet minimum requirement</t>
  </si>
  <si>
    <t>Compile compatibility findings into reports.</t>
  </si>
  <si>
    <t>Breakdown of system status by office.</t>
  </si>
  <si>
    <t>Deliver compatibility reports to upper management.</t>
  </si>
  <si>
    <t>Summary report of all findings.</t>
  </si>
  <si>
    <t>Combine inventory, compatibility, and recommendations.</t>
  </si>
  <si>
    <t>Sign-off and formal delivery to stakeholders.</t>
  </si>
  <si>
    <t>3.2.1.1</t>
  </si>
  <si>
    <t>3.2.1.2</t>
  </si>
  <si>
    <t>3.3.1.1</t>
  </si>
  <si>
    <t>3.3.1.2</t>
  </si>
  <si>
    <t>3.4.1.1</t>
  </si>
  <si>
    <t>3.4.1.2</t>
  </si>
  <si>
    <t>3.1.5</t>
  </si>
  <si>
    <t>3.5.1.1</t>
  </si>
  <si>
    <t>3.5.1.2</t>
  </si>
  <si>
    <t>Hardware Benchmark Reports</t>
  </si>
  <si>
    <t>Windows 11 Hardware Guidelines</t>
  </si>
  <si>
    <t>Market Research, Vendor Catalogs</t>
  </si>
  <si>
    <t>Approved Vendor List</t>
  </si>
  <si>
    <t>Email Templates, RFP Docs</t>
  </si>
  <si>
    <t>Comparison Matrix, Proposal Docs</t>
  </si>
  <si>
    <t>Procurement Platform, Vendor Portal</t>
  </si>
  <si>
    <t>Email, Delivery Tracker</t>
  </si>
  <si>
    <t>Manager</t>
  </si>
  <si>
    <t>Microsoft Licensing Portal</t>
  </si>
  <si>
    <t>System Count, License Calculator</t>
  </si>
  <si>
    <t>Microsoft Rep, Legal Review</t>
  </si>
  <si>
    <t>Shipping Documents</t>
  </si>
  <si>
    <t>Inspection Checklist</t>
  </si>
  <si>
    <t>Asset Management Tool</t>
  </si>
  <si>
    <t>Use findings from compatibility assessment.</t>
  </si>
  <si>
    <t>Define specs for office desktops.</t>
  </si>
  <si>
    <t>DeProcurement based on RFP process.fine specs for mobile workers</t>
  </si>
  <si>
    <t>Request pricing from vendors.</t>
  </si>
  <si>
    <t>Select vendor based on pricing and warranty.</t>
  </si>
  <si>
    <t>Includes desktops and laptops for global office</t>
  </si>
  <si>
    <t>PO to selected vendor(s).</t>
  </si>
  <si>
    <t>Coordination across 16 offices.</t>
  </si>
  <si>
    <t>1200 Windows 11 Pro licenses.</t>
  </si>
  <si>
    <t>Based on systems and user roles.</t>
  </si>
  <si>
    <t>Formal licensing contract.</t>
  </si>
  <si>
    <t>Multiple phased shipments.</t>
  </si>
  <si>
    <t>Verify specs and condition.</t>
  </si>
  <si>
    <t>Log all devices by asset tag and location.</t>
  </si>
  <si>
    <t>Procurement based on RFP process.</t>
  </si>
  <si>
    <t>4.1.1.</t>
  </si>
  <si>
    <t>Prior Project Plans, Office Hours, Business Calendar</t>
  </si>
  <si>
    <t>Office Maps, Staffing Charts</t>
  </si>
  <si>
    <t>Executive Input, Business Calendar</t>
  </si>
  <si>
    <t>Regional IT Staff Roster</t>
  </si>
  <si>
    <t>IT Availability Reports</t>
  </si>
  <si>
    <t>Deployment Plan, RACI Chart</t>
  </si>
  <si>
    <t>Windows 11 Image, Configuration Toolkit</t>
  </si>
  <si>
    <t>Windows 11 ISO, Configuration Scripts</t>
  </si>
  <si>
    <t>Test Devices, Checklists</t>
  </si>
  <si>
    <t>MECM, WDS, Network Topology</t>
  </si>
  <si>
    <t>Virtual Hosts, MECM Setup Files</t>
  </si>
  <si>
    <t>Test Devices, Log Files</t>
  </si>
  <si>
    <t>Backup Tools, Cloud Services</t>
  </si>
  <si>
    <t>Backup Catalog, Risk Reports</t>
  </si>
  <si>
    <t>Test Images, Recovery Protocol</t>
  </si>
  <si>
    <t>Phased rollout based on region, availability, and critical operatio</t>
  </si>
  <si>
    <t>Includes all 16 global offices.</t>
  </si>
  <si>
    <t>Avoids conflict with peak business periods.</t>
  </si>
  <si>
    <t>Assign leads per location</t>
  </si>
  <si>
    <t>Confirm readiness and travel, if required.</t>
  </si>
  <si>
    <t>Clarify onsite and remote tasks.</t>
  </si>
  <si>
    <t>Standardized for all models.</t>
  </si>
  <si>
    <t>Includes company apps and settings.</t>
  </si>
  <si>
    <t>Validate security and compatibility.</t>
  </si>
  <si>
    <t>Used for automated deployment</t>
  </si>
  <si>
    <t>Hosted at HQ and major regions.</t>
  </si>
  <si>
    <t>Used in case of failure during deployment.</t>
  </si>
  <si>
    <t>Cloud + local hybrid.</t>
  </si>
  <si>
    <t>Ensure fast system recovery.</t>
  </si>
  <si>
    <t>Test full OS push end-to-end.</t>
  </si>
  <si>
    <t>4.3 – Finalize deployment plan</t>
  </si>
  <si>
    <t>5.1.1</t>
  </si>
  <si>
    <t>nonw</t>
  </si>
  <si>
    <t>IT Staff, Backup Software</t>
  </si>
  <si>
    <t>Scripting Tools, Endpoint</t>
  </si>
  <si>
    <t>Encrypted Storage, File Servers</t>
  </si>
  <si>
    <t>IT Staff, Deployment Tools</t>
  </si>
  <si>
    <t>Deployment Calendar, Communication Tools</t>
  </si>
  <si>
    <t>Monitoring Tools, Helpdesk</t>
  </si>
  <si>
    <t>Procurement Team, Techs</t>
  </si>
  <si>
    <t>Hardware, Setup Tools</t>
  </si>
  <si>
    <t>AD Admins, Group Policy</t>
  </si>
  <si>
    <t>Backup Storage, Restore Tools</t>
  </si>
  <si>
    <t>Backup Tools, Access Rights</t>
  </si>
  <si>
    <t>User Feedback, Testing Tools</t>
  </si>
  <si>
    <t>Test Scripts, Device Access</t>
  </si>
  <si>
    <t>QA Tools, Network Test</t>
  </si>
  <si>
    <t>Surveys, Feedback Forms</t>
  </si>
  <si>
    <t>Focus on critical departments first</t>
  </si>
  <si>
    <t>Scripts use Robocopy and Volume Shadow Copy</t>
  </si>
  <si>
    <t>Data is encrypted at rest using BitLocker</t>
  </si>
  <si>
    <t>SCCM/Intune deployment strategy</t>
  </si>
  <si>
    <t>Schedule based on region and priority</t>
  </si>
  <si>
    <t>Use Endpoint Analytics for feedback</t>
  </si>
  <si>
    <t>For systems not compatible with Win1</t>
  </si>
  <si>
    <t>Devices pre-imaged with Win11 and apps</t>
  </si>
  <si>
    <t>Includes re-assigning permissions and profiEnsure data maps to correct usersles</t>
  </si>
  <si>
    <t>Ensure data maps to correct users</t>
  </si>
  <si>
    <t>Use same tool as backup for compatibility</t>
  </si>
  <si>
    <t>Confirm access to files and apps</t>
  </si>
  <si>
    <t>Final verification before go-live</t>
  </si>
  <si>
    <t>Check all critical business apps</t>
  </si>
  <si>
    <t>Gather feedback via Microsoft Forms</t>
  </si>
  <si>
    <t>Project Plan Approved</t>
  </si>
  <si>
    <t>Technical Writer, Translator, SMEs</t>
  </si>
  <si>
    <t>Translator, Editor</t>
  </si>
  <si>
    <t>SMEs, QA</t>
  </si>
  <si>
    <t>Dept. Liaisons</t>
  </si>
  <si>
    <t>Dept. Managers</t>
  </si>
  <si>
    <t>Email System</t>
  </si>
  <si>
    <t>Trainers, Zoom/Teams</t>
  </si>
  <si>
    <t>Presentation Tools</t>
  </si>
  <si>
    <t>LMS, Multimedia Tools</t>
  </si>
  <si>
    <t>Language-Specific Agents</t>
  </si>
  <si>
    <t>Translation Software</t>
  </si>
  <si>
    <t>Bilingual IT Support Staff</t>
  </si>
  <si>
    <t>Email, Intranet Admin</t>
  </si>
  <si>
    <t>Email Tool</t>
  </si>
  <si>
    <t>Web CMS</t>
  </si>
  <si>
    <t>Includes slide decks and help documents</t>
  </si>
  <si>
    <t>EN, FR, SP, MAN</t>
  </si>
  <si>
    <t>Admin, User, IT</t>
  </si>
  <si>
    <t>Internal scheduling tool</t>
  </si>
  <si>
    <t>Use mailing list</t>
  </si>
  <si>
    <t>Mix of in-person and virtual</t>
  </si>
  <si>
    <t>1 per region</t>
  </si>
  <si>
    <t>Hosted on intranet</t>
  </si>
  <si>
    <t>Human + AI tools</t>
  </si>
  <si>
    <t>Contracted support</t>
  </si>
  <si>
    <t>PDF &amp; HTML formats</t>
  </si>
  <si>
    <t>Targeted lists</t>
  </si>
  <si>
    <t>Secure document storage</t>
  </si>
  <si>
    <t>7,4</t>
  </si>
  <si>
    <t>esters, End Users</t>
  </si>
  <si>
    <t>QA Team</t>
  </si>
  <si>
    <t>Testers</t>
  </si>
  <si>
    <t>Feedback Tools</t>
  </si>
  <si>
    <t>Email, Forms</t>
  </si>
  <si>
    <t>Ticketing System</t>
  </si>
  <si>
    <t>Monitoring Tools</t>
  </si>
  <si>
    <t>Logging System</t>
  </si>
  <si>
    <t>Onsite &amp; Remote IT</t>
  </si>
  <si>
    <t>IT Technicians</t>
  </si>
  <si>
    <t>Field Techs</t>
  </si>
  <si>
    <t>End Users, QA</t>
  </si>
  <si>
    <t>SMEs</t>
  </si>
  <si>
    <t>User Reps</t>
  </si>
  <si>
    <t>Include power users</t>
  </si>
  <si>
    <t>Align with business needs</t>
  </si>
  <si>
    <t>Track in Excel or Jira</t>
  </si>
  <si>
    <t>Anonymous &amp; direct feedback</t>
  </si>
  <si>
    <t>Email, web forms</t>
  </si>
  <si>
    <t>SLA of 48 hours</t>
  </si>
  <si>
    <t>Dashboards, logs</t>
  </si>
  <si>
    <t>CPU, uptime, latency</t>
  </si>
  <si>
    <t>Linked to ticketing</t>
  </si>
  <si>
    <t>Local and global support</t>
  </si>
  <si>
    <t>Tier 1 &amp; Tier 2</t>
  </si>
  <si>
    <t>Regional visits</t>
  </si>
  <si>
    <t>Confirm 100% readiness</t>
  </si>
  <si>
    <t>Sample group verification</t>
  </si>
  <si>
    <t>Sign-off forms</t>
  </si>
  <si>
    <t>Deployment Completed</t>
  </si>
  <si>
    <t>8.2.1.1</t>
  </si>
  <si>
    <t>IT Technicians, Inventory System</t>
  </si>
  <si>
    <t>Asset Tags, Scanners</t>
  </si>
  <si>
    <t>Asset Management Software</t>
  </si>
  <si>
    <t>Data Wipe Software, Audit Team</t>
  </si>
  <si>
    <t>Data Erasure Tools</t>
  </si>
  <si>
    <t>Reporting Tool</t>
  </si>
  <si>
    <t>Recycling Vendor</t>
  </si>
  <si>
    <t>Vendor Liaison</t>
  </si>
  <si>
    <t>Signed Certificates</t>
  </si>
  <si>
    <t>Asset System Admin</t>
  </si>
  <si>
    <t>CMDB Tool</t>
  </si>
  <si>
    <t>Lifecycle Mgmt. Tool</t>
  </si>
  <si>
    <t>Tag and sort devices by site</t>
  </si>
  <si>
    <t>Barcode or QR</t>
  </si>
  <si>
    <t>Cross-check with old inventory</t>
  </si>
  <si>
    <t>Blancco or DBAN tools</t>
  </si>
  <si>
    <t>Compliant with ISO/DoD</t>
  </si>
  <si>
    <t>Certificate of erasure</t>
  </si>
  <si>
    <t>Green disposal policy</t>
  </si>
  <si>
    <t>Partner preselected</t>
  </si>
  <si>
    <t>Save PDF copies</t>
  </si>
  <si>
    <t>Update internal systems</t>
  </si>
  <si>
    <t>Flagged as “Retired”</t>
  </si>
  <si>
    <t>Ensure compliance logs</t>
  </si>
  <si>
    <t>All project tasks</t>
  </si>
  <si>
    <t>9.3.2</t>
  </si>
  <si>
    <t>Stakeholders</t>
  </si>
  <si>
    <t>PMO Team</t>
  </si>
  <si>
    <t>Project Reports</t>
  </si>
  <si>
    <t>Metrics Dashboard</t>
  </si>
  <si>
    <t>Meeting Tool</t>
  </si>
  <si>
    <t>Signature Tools</t>
  </si>
  <si>
    <t>IT Storage Admin</t>
  </si>
  <si>
    <t>SharePoint / Cloud</t>
  </si>
  <si>
    <t>All Team Members</t>
  </si>
  <si>
    <t>Meeting Tools</t>
  </si>
  <si>
    <t>Word Processor</t>
  </si>
  <si>
    <t>Summary evaluation report</t>
  </si>
  <si>
    <t>Check against KPIs</t>
  </si>
  <si>
    <t>Checklist format</t>
  </si>
  <si>
    <t>Email approval format</t>
  </si>
  <si>
    <t>1-hour overview</t>
  </si>
  <si>
    <t>DocuSign preferred</t>
  </si>
  <si>
    <t>Secure access only</t>
  </si>
  <si>
    <t>Password-protected folders</t>
  </si>
  <si>
    <t>Include link to archive</t>
  </si>
  <si>
    <t>1–2 hour team workshop</t>
  </si>
  <si>
    <t>Collect feedback</t>
  </si>
  <si>
    <t>Archive with final docs</t>
  </si>
  <si>
    <t>Business Analyst</t>
  </si>
  <si>
    <t>Project Proposal</t>
  </si>
  <si>
    <t>Org Strategy Doc</t>
  </si>
  <si>
    <t>Org Chart, HR</t>
  </si>
  <si>
    <t>Exec Roster</t>
  </si>
  <si>
    <t>HR Records</t>
  </si>
  <si>
    <t>Scope Template</t>
  </si>
  <si>
    <t>Requirements Doc</t>
  </si>
  <si>
    <t>Planning Notes</t>
  </si>
  <si>
    <t>MS Project</t>
  </si>
  <si>
    <t>Project Plan</t>
  </si>
  <si>
    <t>Project</t>
  </si>
  <si>
    <t>Budget Tool</t>
  </si>
  <si>
    <t>Invoice Records</t>
  </si>
  <si>
    <t>Timesheets</t>
  </si>
  <si>
    <t>PMO Dashboard</t>
  </si>
  <si>
    <t>PM Tool</t>
  </si>
  <si>
    <t>PPT + Email</t>
  </si>
  <si>
    <t>Docs, Checklist</t>
  </si>
  <si>
    <t>QA Checklist</t>
  </si>
  <si>
    <t>Required to close project</t>
  </si>
  <si>
    <t>Based on project scope</t>
  </si>
  <si>
    <t>Biweekly summary</t>
  </si>
  <si>
    <t>Status tracking</t>
  </si>
  <si>
    <t>Cross-team hours logged</t>
  </si>
  <si>
    <t>For new PCs &amp;</t>
  </si>
  <si>
    <t>Includes buffer</t>
  </si>
  <si>
    <t>Key deliverabl</t>
  </si>
  <si>
    <t xml:space="preserve">Project Management </t>
  </si>
  <si>
    <r>
      <t>Deployment Planning</t>
    </r>
    <r>
      <rPr>
        <sz val="14"/>
        <color theme="1"/>
        <rFont val="Calibri"/>
        <family val="2"/>
        <scheme val="minor"/>
      </rPr>
      <t xml:space="preserve"> </t>
    </r>
  </si>
  <si>
    <t xml:space="preserve">System Deployment and Migration </t>
  </si>
  <si>
    <r>
      <t>User Training and Documentation</t>
    </r>
    <r>
      <rPr>
        <sz val="14"/>
        <color theme="1"/>
        <rFont val="Calibri"/>
        <family val="2"/>
        <scheme val="minor"/>
      </rPr>
      <t xml:space="preserve"> </t>
    </r>
  </si>
  <si>
    <r>
      <t>Testing and Support</t>
    </r>
    <r>
      <rPr>
        <sz val="14"/>
        <color theme="1"/>
        <rFont val="Calibri"/>
        <family val="2"/>
        <scheme val="minor"/>
      </rPr>
      <t xml:space="preserve"> </t>
    </r>
  </si>
  <si>
    <r>
      <t>Decommissioning and Recycling</t>
    </r>
    <r>
      <rPr>
        <sz val="14"/>
        <color theme="1"/>
        <rFont val="Calibri"/>
        <family val="2"/>
        <scheme val="minor"/>
      </rPr>
      <t xml:space="preserve"> </t>
    </r>
  </si>
  <si>
    <r>
      <t>Project Closure</t>
    </r>
    <r>
      <rPr>
        <sz val="14"/>
        <color theme="1"/>
        <rFont val="Calibri"/>
        <family val="2"/>
        <scheme val="minor"/>
      </rPr>
      <t xml:space="preserve"> </t>
    </r>
  </si>
  <si>
    <t>9.4.1</t>
  </si>
  <si>
    <t>9.4.2</t>
  </si>
  <si>
    <t>6.2.1</t>
  </si>
  <si>
    <t>Sana</t>
  </si>
  <si>
    <t>Zain</t>
  </si>
  <si>
    <t>Alia</t>
  </si>
  <si>
    <t>CHEN</t>
  </si>
  <si>
    <t>Lisa</t>
  </si>
  <si>
    <t>Fatima</t>
  </si>
  <si>
    <t>Amir</t>
  </si>
  <si>
    <t>Irfan</t>
  </si>
  <si>
    <t>Chen</t>
  </si>
  <si>
    <t>Emma</t>
  </si>
  <si>
    <t>Andre</t>
  </si>
  <si>
    <t>Mei</t>
  </si>
  <si>
    <t>David</t>
  </si>
  <si>
    <t>Ravi</t>
  </si>
  <si>
    <t>Ron</t>
  </si>
  <si>
    <t>Aisha</t>
  </si>
  <si>
    <t>Zara</t>
  </si>
  <si>
    <t xml:space="preserve">Contoso Consulting – Windows 11 Upgrade </t>
  </si>
  <si>
    <t>Project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</si>
</sst>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F800]dddd\,\ mmmm\ dd\,\ yyyy"/>
  </numFmts>
  <fonts count="22" x14ac:knownFonts="1">
    <font>
      <sz val="12"/>
      <color theme="1"/>
      <name val="Calibri"/>
      <family val="2"/>
      <scheme val="minor"/>
    </font>
    <font>
      <sz val="12"/>
      <color theme="1"/>
      <name val="Calibri"/>
      <family val="2"/>
      <scheme val="minor"/>
    </font>
    <font>
      <sz val="12"/>
      <color theme="1"/>
      <name val="Century Gothic"/>
      <family val="1"/>
    </font>
    <font>
      <sz val="10"/>
      <color theme="1"/>
      <name val="Century Gothic"/>
      <family val="1"/>
    </font>
    <font>
      <u/>
      <sz val="12"/>
      <color theme="10"/>
      <name val="Calibri"/>
      <family val="2"/>
      <scheme val="minor"/>
    </font>
    <font>
      <u/>
      <sz val="12"/>
      <color theme="11"/>
      <name val="Calibri"/>
      <family val="2"/>
      <scheme val="minor"/>
    </font>
    <font>
      <sz val="11"/>
      <color theme="1"/>
      <name val="Century Gothic"/>
      <family val="1"/>
    </font>
    <font>
      <b/>
      <sz val="11"/>
      <color theme="1"/>
      <name val="Century Gothic"/>
      <family val="1"/>
    </font>
    <font>
      <b/>
      <sz val="10"/>
      <color theme="1"/>
      <name val="Century Gothic"/>
      <family val="1"/>
    </font>
    <font>
      <sz val="12"/>
      <color theme="1"/>
      <name val="Arial"/>
      <family val="2"/>
    </font>
    <font>
      <b/>
      <sz val="20"/>
      <color theme="0" tint="-0.499984740745262"/>
      <name val="Century Gothic"/>
      <family val="1"/>
    </font>
    <font>
      <sz val="11"/>
      <color theme="1"/>
      <name val="Calibri"/>
      <family val="2"/>
      <scheme val="minor"/>
    </font>
    <font>
      <b/>
      <sz val="9"/>
      <color theme="0"/>
      <name val="Century Gothic"/>
      <family val="1"/>
    </font>
    <font>
      <b/>
      <sz val="22"/>
      <color theme="0"/>
      <name val="Century Gothic"/>
      <family val="2"/>
    </font>
    <font>
      <sz val="8"/>
      <name val="Calibri"/>
      <family val="2"/>
      <scheme val="minor"/>
    </font>
    <font>
      <b/>
      <sz val="11"/>
      <color theme="1"/>
      <name val="Calibri"/>
      <family val="2"/>
      <scheme val="minor"/>
    </font>
    <font>
      <b/>
      <sz val="12"/>
      <color theme="1"/>
      <name val="Calibri"/>
      <family val="2"/>
      <scheme val="minor"/>
    </font>
    <font>
      <b/>
      <sz val="12"/>
      <color theme="0"/>
      <name val="Calibri"/>
      <family val="2"/>
      <scheme val="minor"/>
    </font>
    <font>
      <b/>
      <sz val="14"/>
      <color theme="1"/>
      <name val="Calibri"/>
      <family val="2"/>
      <scheme val="minor"/>
    </font>
    <font>
      <sz val="14"/>
      <color theme="1"/>
      <name val="Calibri"/>
      <family val="2"/>
      <scheme val="minor"/>
    </font>
    <font>
      <sz val="10"/>
      <color theme="1"/>
      <name val="Century Gothic"/>
      <family val="2"/>
    </font>
    <font>
      <b/>
      <sz val="12"/>
      <color theme="1"/>
      <name val="Aptos"/>
      <family val="2"/>
    </font>
  </fonts>
  <fills count="8">
    <fill>
      <patternFill patternType="none"/>
    </fill>
    <fill>
      <patternFill patternType="gray125"/>
    </fill>
    <fill>
      <patternFill patternType="solid">
        <fgColor rgb="FF40B14B"/>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bgColor indexed="64"/>
      </patternFill>
    </fill>
    <fill>
      <patternFill patternType="solid">
        <fgColor theme="3" tint="-0.499984740745262"/>
        <bgColor indexed="64"/>
      </patternFill>
    </fill>
    <fill>
      <patternFill patternType="solid">
        <fgColor theme="0" tint="-4.9989318521683403E-2"/>
        <bgColor indexed="64"/>
      </patternFill>
    </fill>
  </fills>
  <borders count="1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indexed="64"/>
      </left>
      <right style="thin">
        <color indexed="64"/>
      </right>
      <top style="thin">
        <color indexed="64"/>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bottom style="thin">
        <color theme="0" tint="-0.34998626667073579"/>
      </bottom>
      <diagonal/>
    </border>
    <border>
      <left style="thin">
        <color indexed="64"/>
      </left>
      <right style="thin">
        <color indexed="64"/>
      </right>
      <top style="thin">
        <color indexed="64"/>
      </top>
      <bottom/>
      <diagonal/>
    </border>
    <border>
      <left/>
      <right style="thin">
        <color theme="0" tint="-0.249977111117893"/>
      </right>
      <top style="thin">
        <color theme="0" tint="-0.249977111117893"/>
      </top>
      <bottom style="thin">
        <color theme="0" tint="-0.249977111117893"/>
      </bottom>
      <diagonal/>
    </border>
    <border>
      <left/>
      <right/>
      <top style="thin">
        <color theme="0" tint="-0.34998626667073579"/>
      </top>
      <bottom style="thin">
        <color theme="0" tint="-0.34998626667073579"/>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s>
  <cellStyleXfs count="13">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1" fillId="0" borderId="0"/>
    <xf numFmtId="0" fontId="4" fillId="0" borderId="0" applyNumberFormat="0" applyFill="0" applyBorder="0" applyAlignment="0" applyProtection="0"/>
  </cellStyleXfs>
  <cellXfs count="79">
    <xf numFmtId="0" fontId="0" fillId="0" borderId="0" xfId="0"/>
    <xf numFmtId="0" fontId="2" fillId="0" borderId="0" xfId="0" applyFont="1"/>
    <xf numFmtId="0" fontId="3" fillId="0" borderId="1" xfId="0" applyFont="1" applyBorder="1" applyAlignment="1">
      <alignment horizontal="left" vertical="center" indent="1"/>
    </xf>
    <xf numFmtId="9" fontId="3" fillId="0" borderId="1" xfId="10" applyFont="1" applyBorder="1" applyAlignment="1">
      <alignment horizontal="right" vertical="center" indent="1"/>
    </xf>
    <xf numFmtId="14" fontId="3" fillId="0" borderId="1" xfId="0" applyNumberFormat="1" applyFont="1" applyBorder="1" applyAlignment="1">
      <alignment horizontal="center" vertical="center"/>
    </xf>
    <xf numFmtId="0" fontId="6" fillId="0" borderId="0" xfId="0" applyFont="1" applyAlignment="1">
      <alignment horizontal="left" vertical="center" indent="1"/>
    </xf>
    <xf numFmtId="0" fontId="3" fillId="0" borderId="0" xfId="0" applyFont="1" applyAlignment="1">
      <alignment horizontal="left" vertical="center" indent="1"/>
    </xf>
    <xf numFmtId="14" fontId="3" fillId="0" borderId="0" xfId="0" applyNumberFormat="1" applyFont="1" applyAlignment="1">
      <alignment horizontal="center" vertical="center"/>
    </xf>
    <xf numFmtId="0" fontId="9" fillId="0" borderId="0" xfId="0" applyFont="1"/>
    <xf numFmtId="0" fontId="10" fillId="0" borderId="0" xfId="0" applyFont="1" applyAlignment="1">
      <alignment vertical="center"/>
    </xf>
    <xf numFmtId="0" fontId="3" fillId="0" borderId="0" xfId="0" applyFont="1"/>
    <xf numFmtId="44" fontId="3" fillId="0" borderId="1" xfId="9" applyFont="1" applyBorder="1" applyAlignment="1">
      <alignment vertical="center"/>
    </xf>
    <xf numFmtId="44" fontId="8" fillId="4" borderId="0" xfId="9" applyFont="1" applyFill="1" applyBorder="1" applyAlignment="1">
      <alignment vertical="center"/>
    </xf>
    <xf numFmtId="0" fontId="3" fillId="4" borderId="1" xfId="0" applyFont="1" applyFill="1" applyBorder="1" applyAlignment="1">
      <alignment horizontal="left" vertical="center" indent="1"/>
    </xf>
    <xf numFmtId="9" fontId="3" fillId="4" borderId="1" xfId="10" applyFont="1" applyFill="1" applyBorder="1" applyAlignment="1">
      <alignment horizontal="right" vertical="center" indent="1"/>
    </xf>
    <xf numFmtId="44" fontId="3" fillId="4" borderId="1" xfId="9" applyFont="1" applyFill="1" applyBorder="1" applyAlignment="1">
      <alignment vertical="center"/>
    </xf>
    <xf numFmtId="14" fontId="3" fillId="4" borderId="1" xfId="0" applyNumberFormat="1" applyFont="1" applyFill="1" applyBorder="1" applyAlignment="1">
      <alignment horizontal="center" vertical="center"/>
    </xf>
    <xf numFmtId="0" fontId="11" fillId="0" borderId="0" xfId="11"/>
    <xf numFmtId="0" fontId="9" fillId="0" borderId="5" xfId="11" applyFont="1" applyBorder="1" applyAlignment="1">
      <alignment horizontal="left" vertical="center" wrapText="1" indent="2"/>
    </xf>
    <xf numFmtId="0" fontId="12" fillId="6" borderId="4" xfId="0" applyFont="1" applyFill="1" applyBorder="1" applyAlignment="1">
      <alignment horizontal="left" vertical="center" indent="1"/>
    </xf>
    <xf numFmtId="0" fontId="6" fillId="7" borderId="4" xfId="0" applyFont="1" applyFill="1" applyBorder="1" applyAlignment="1">
      <alignment horizontal="left" vertical="center" wrapText="1" indent="1"/>
    </xf>
    <xf numFmtId="0" fontId="6" fillId="0" borderId="2" xfId="0" applyFont="1" applyBorder="1" applyAlignment="1">
      <alignment horizontal="left" vertical="center" wrapText="1"/>
    </xf>
    <xf numFmtId="0" fontId="3" fillId="0" borderId="7" xfId="0" applyFont="1" applyBorder="1" applyAlignment="1">
      <alignment horizontal="left" vertical="center" indent="1"/>
    </xf>
    <xf numFmtId="0" fontId="3" fillId="4" borderId="7" xfId="0" applyFont="1" applyFill="1" applyBorder="1" applyAlignment="1">
      <alignment horizontal="left" vertical="center" indent="1"/>
    </xf>
    <xf numFmtId="0" fontId="2" fillId="0" borderId="6" xfId="0" applyFont="1" applyBorder="1"/>
    <xf numFmtId="0" fontId="2" fillId="0" borderId="6" xfId="0" applyFont="1" applyBorder="1" applyAlignment="1">
      <alignment horizontal="left"/>
    </xf>
    <xf numFmtId="0" fontId="15" fillId="0" borderId="0" xfId="0" applyFont="1"/>
    <xf numFmtId="0" fontId="0" fillId="0" borderId="6" xfId="0" applyBorder="1"/>
    <xf numFmtId="0" fontId="12" fillId="5" borderId="8" xfId="0" applyFont="1" applyFill="1" applyBorder="1" applyAlignment="1">
      <alignment horizontal="center" vertical="center" wrapText="1"/>
    </xf>
    <xf numFmtId="0" fontId="3" fillId="0" borderId="10" xfId="0" applyFont="1" applyBorder="1" applyAlignment="1">
      <alignment horizontal="left" vertical="center" indent="1"/>
    </xf>
    <xf numFmtId="0" fontId="7" fillId="4" borderId="2" xfId="0" applyFont="1" applyFill="1" applyBorder="1" applyAlignment="1">
      <alignment vertical="top"/>
    </xf>
    <xf numFmtId="0" fontId="2" fillId="0" borderId="0" xfId="0" applyFont="1" applyAlignment="1">
      <alignment vertical="top"/>
    </xf>
    <xf numFmtId="0" fontId="12" fillId="5" borderId="9" xfId="0" applyFont="1" applyFill="1" applyBorder="1" applyAlignment="1">
      <alignment horizontal="center" vertical="center" wrapText="1"/>
    </xf>
    <xf numFmtId="0" fontId="8" fillId="3" borderId="6" xfId="0" applyFont="1" applyFill="1" applyBorder="1" applyAlignment="1">
      <alignment horizontal="left" vertical="center" indent="1"/>
    </xf>
    <xf numFmtId="9" fontId="3" fillId="0" borderId="6" xfId="10" applyFont="1" applyBorder="1" applyAlignment="1">
      <alignment horizontal="right" vertical="center" indent="1"/>
    </xf>
    <xf numFmtId="44" fontId="8" fillId="3" borderId="6" xfId="9" applyFont="1" applyFill="1" applyBorder="1" applyAlignment="1">
      <alignment vertical="center"/>
    </xf>
    <xf numFmtId="0" fontId="3" fillId="4" borderId="6" xfId="0" applyFont="1" applyFill="1" applyBorder="1" applyAlignment="1">
      <alignment horizontal="left" vertical="center" indent="1"/>
    </xf>
    <xf numFmtId="44" fontId="3" fillId="4" borderId="6" xfId="9" applyFont="1" applyFill="1" applyBorder="1" applyAlignment="1">
      <alignment vertical="center"/>
    </xf>
    <xf numFmtId="14" fontId="8" fillId="3" borderId="6" xfId="0" applyNumberFormat="1" applyFont="1" applyFill="1" applyBorder="1" applyAlignment="1">
      <alignment horizontal="center" vertical="center"/>
    </xf>
    <xf numFmtId="0" fontId="3" fillId="0" borderId="6" xfId="0" applyFont="1" applyBorder="1" applyAlignment="1">
      <alignment horizontal="left" vertical="center" indent="1"/>
    </xf>
    <xf numFmtId="9" fontId="3" fillId="4" borderId="6" xfId="10" applyFont="1" applyFill="1" applyBorder="1" applyAlignment="1">
      <alignment horizontal="right" vertical="center" indent="1"/>
    </xf>
    <xf numFmtId="44" fontId="3" fillId="0" borderId="6" xfId="9" applyFont="1" applyBorder="1" applyAlignment="1">
      <alignment vertical="center"/>
    </xf>
    <xf numFmtId="14" fontId="3" fillId="0" borderId="6" xfId="0" applyNumberFormat="1" applyFont="1" applyBorder="1" applyAlignment="1">
      <alignment horizontal="center" vertical="center"/>
    </xf>
    <xf numFmtId="14" fontId="3" fillId="4" borderId="6" xfId="0" applyNumberFormat="1" applyFont="1" applyFill="1" applyBorder="1" applyAlignment="1">
      <alignment horizontal="center" vertical="center"/>
    </xf>
    <xf numFmtId="9" fontId="8" fillId="3" borderId="6" xfId="10" applyFont="1" applyFill="1" applyBorder="1" applyAlignment="1">
      <alignment horizontal="right" vertical="center" indent="1"/>
    </xf>
    <xf numFmtId="0" fontId="0" fillId="0" borderId="6" xfId="0" applyBorder="1" applyAlignment="1">
      <alignment vertical="center" wrapText="1"/>
    </xf>
    <xf numFmtId="44" fontId="3" fillId="0" borderId="6" xfId="9" applyFont="1" applyFill="1" applyBorder="1" applyAlignment="1">
      <alignment vertical="center"/>
    </xf>
    <xf numFmtId="9" fontId="8" fillId="3" borderId="11" xfId="10" applyFont="1" applyFill="1" applyBorder="1" applyAlignment="1">
      <alignment horizontal="right" vertical="center" indent="1"/>
    </xf>
    <xf numFmtId="44" fontId="8" fillId="3" borderId="11" xfId="9" applyFont="1" applyFill="1" applyBorder="1" applyAlignment="1">
      <alignment vertical="center"/>
    </xf>
    <xf numFmtId="14" fontId="8" fillId="3" borderId="11" xfId="0" applyNumberFormat="1" applyFont="1" applyFill="1" applyBorder="1" applyAlignment="1">
      <alignment horizontal="center" vertical="center"/>
    </xf>
    <xf numFmtId="0" fontId="2" fillId="0" borderId="11" xfId="0" applyFont="1" applyBorder="1"/>
    <xf numFmtId="0" fontId="16" fillId="0" borderId="6" xfId="0" applyFont="1" applyBorder="1"/>
    <xf numFmtId="0" fontId="0" fillId="0" borderId="6" xfId="0" applyBorder="1" applyAlignment="1">
      <alignment horizontal="left" vertical="top"/>
    </xf>
    <xf numFmtId="0" fontId="0" fillId="0" borderId="11" xfId="0" applyBorder="1" applyAlignment="1">
      <alignment horizontal="left" vertical="top"/>
    </xf>
    <xf numFmtId="0" fontId="16" fillId="3" borderId="6" xfId="0" applyFont="1" applyFill="1" applyBorder="1" applyAlignment="1">
      <alignment horizontal="left" vertical="top"/>
    </xf>
    <xf numFmtId="0" fontId="16" fillId="3" borderId="6" xfId="0" applyFont="1" applyFill="1" applyBorder="1" applyAlignment="1">
      <alignment horizontal="left" vertical="center" indent="1"/>
    </xf>
    <xf numFmtId="0" fontId="16" fillId="4" borderId="6" xfId="0" applyFont="1" applyFill="1" applyBorder="1" applyAlignment="1">
      <alignment horizontal="left" vertical="top"/>
    </xf>
    <xf numFmtId="0" fontId="0" fillId="4" borderId="6" xfId="0" applyFill="1" applyBorder="1" applyAlignment="1">
      <alignment horizontal="left" vertical="center" indent="1"/>
    </xf>
    <xf numFmtId="0" fontId="0" fillId="0" borderId="6" xfId="0" applyBorder="1" applyAlignment="1">
      <alignment horizontal="left" vertical="center" indent="1"/>
    </xf>
    <xf numFmtId="0" fontId="17" fillId="5" borderId="6" xfId="0" applyFont="1" applyFill="1" applyBorder="1" applyAlignment="1">
      <alignment horizontal="center" vertical="center" wrapText="1"/>
    </xf>
    <xf numFmtId="0" fontId="0" fillId="3" borderId="6" xfId="0" applyFill="1" applyBorder="1" applyAlignment="1">
      <alignment horizontal="left" vertical="center" indent="1"/>
    </xf>
    <xf numFmtId="0" fontId="16" fillId="3" borderId="11" xfId="0" applyFont="1" applyFill="1" applyBorder="1" applyAlignment="1">
      <alignment horizontal="left" vertical="center" indent="1"/>
    </xf>
    <xf numFmtId="0" fontId="18" fillId="0" borderId="6" xfId="0" applyFont="1" applyBorder="1"/>
    <xf numFmtId="9" fontId="20" fillId="3" borderId="6" xfId="10" applyFont="1" applyFill="1" applyBorder="1" applyAlignment="1">
      <alignment horizontal="right" vertical="center" indent="1"/>
    </xf>
    <xf numFmtId="44" fontId="20" fillId="3" borderId="6" xfId="9" applyFont="1" applyFill="1" applyBorder="1" applyAlignment="1">
      <alignment vertical="center"/>
    </xf>
    <xf numFmtId="14" fontId="20" fillId="3" borderId="6" xfId="0" applyNumberFormat="1" applyFont="1" applyFill="1" applyBorder="1" applyAlignment="1">
      <alignment horizontal="center" vertical="center"/>
    </xf>
    <xf numFmtId="0" fontId="16" fillId="0" borderId="6" xfId="0" applyFont="1" applyBorder="1" applyAlignment="1">
      <alignment horizontal="left" vertical="center" indent="1"/>
    </xf>
    <xf numFmtId="0" fontId="12" fillId="6" borderId="12" xfId="0" applyFont="1" applyFill="1" applyBorder="1" applyAlignment="1">
      <alignment horizontal="left" vertical="center" indent="1"/>
    </xf>
    <xf numFmtId="164" fontId="6" fillId="0" borderId="13" xfId="0" applyNumberFormat="1" applyFont="1" applyBorder="1" applyAlignment="1">
      <alignment horizontal="left" vertical="center" wrapText="1"/>
    </xf>
    <xf numFmtId="0" fontId="12" fillId="6" borderId="6" xfId="0" applyFont="1" applyFill="1" applyBorder="1" applyAlignment="1">
      <alignment horizontal="left" vertical="center"/>
    </xf>
    <xf numFmtId="0" fontId="6" fillId="0" borderId="6" xfId="0" applyFont="1" applyBorder="1" applyAlignment="1">
      <alignment horizontal="left" vertical="center"/>
    </xf>
    <xf numFmtId="0" fontId="12" fillId="6" borderId="14" xfId="0" applyFont="1" applyFill="1" applyBorder="1" applyAlignment="1">
      <alignment horizontal="left" vertical="center" indent="1"/>
    </xf>
    <xf numFmtId="0" fontId="3" fillId="0" borderId="12" xfId="0" applyFont="1" applyBorder="1" applyAlignment="1">
      <alignment horizontal="left" vertical="center" wrapText="1" indent="1"/>
    </xf>
    <xf numFmtId="0" fontId="12" fillId="6" borderId="15" xfId="0" applyFont="1" applyFill="1" applyBorder="1" applyAlignment="1">
      <alignment horizontal="left" vertical="center" indent="1"/>
    </xf>
    <xf numFmtId="0" fontId="21" fillId="0" borderId="6" xfId="0" applyFont="1" applyBorder="1"/>
    <xf numFmtId="0" fontId="8" fillId="3" borderId="3" xfId="0" applyFont="1" applyFill="1" applyBorder="1" applyAlignment="1">
      <alignment horizontal="right" vertical="center" indent="1"/>
    </xf>
    <xf numFmtId="0" fontId="13" fillId="2" borderId="0" xfId="12" applyFont="1" applyFill="1" applyAlignment="1">
      <alignment horizontal="center" vertical="center"/>
    </xf>
    <xf numFmtId="0" fontId="12" fillId="6" borderId="6" xfId="0" applyFont="1" applyFill="1" applyBorder="1" applyAlignment="1">
      <alignment horizontal="left" vertical="center"/>
    </xf>
    <xf numFmtId="0" fontId="6" fillId="0" borderId="6" xfId="0" applyFont="1" applyBorder="1" applyAlignment="1">
      <alignment horizontal="left" vertical="center"/>
    </xf>
  </cellXfs>
  <cellStyles count="13">
    <cellStyle name="Currency" xfId="9" builtinId="4"/>
    <cellStyle name="Followed Hyperlink" xfId="6" builtinId="9" hidden="1"/>
    <cellStyle name="Followed Hyperlink" xfId="8" builtinId="9" hidden="1"/>
    <cellStyle name="Followed Hyperlink" xfId="4" builtinId="9" hidden="1"/>
    <cellStyle name="Followed Hyperlink" xfId="2" builtinId="9" hidden="1"/>
    <cellStyle name="Hyperlink" xfId="5" builtinId="8" hidden="1"/>
    <cellStyle name="Hyperlink" xfId="7" builtinId="8" hidden="1"/>
    <cellStyle name="Hyperlink" xfId="3" builtinId="8" hidden="1"/>
    <cellStyle name="Hyperlink" xfId="1" builtinId="8" hidden="1"/>
    <cellStyle name="Hyperlink" xfId="12" builtinId="8"/>
    <cellStyle name="Normal" xfId="0" builtinId="0"/>
    <cellStyle name="Normal 2" xfId="11" xr:uid="{5FA4148C-39E9-F145-BDE0-C25FD8825D48}"/>
    <cellStyle name="Percent" xfId="10" builtinId="5"/>
  </cellStyles>
  <dxfs count="0"/>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FFFFFF"/>
      </a:dk1>
      <a:lt1>
        <a:sysClr val="window" lastClr="2D3236"/>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39997558519241921"/>
  </sheetPr>
  <dimension ref="A1:M242"/>
  <sheetViews>
    <sheetView showGridLines="0" tabSelected="1" zoomScale="94" workbookViewId="0">
      <pane ySplit="1" topLeftCell="A2" activePane="bottomLeft" state="frozen"/>
      <selection pane="bottomLeft" activeCell="E8" sqref="E8"/>
    </sheetView>
  </sheetViews>
  <sheetFormatPr defaultColWidth="10.6640625" defaultRowHeight="16" x14ac:dyDescent="0.35"/>
  <cols>
    <col min="1" max="1" width="1.08203125" style="1" customWidth="1"/>
    <col min="2" max="2" width="9.5" style="1" customWidth="1"/>
    <col min="3" max="3" width="27.83203125" style="1" customWidth="1"/>
    <col min="4" max="4" width="9.58203125" style="1" hidden="1" customWidth="1"/>
    <col min="5" max="5" width="23.33203125" style="1" customWidth="1"/>
    <col min="6" max="6" width="19.08203125" style="1" customWidth="1"/>
    <col min="7" max="7" width="9.1640625" style="1" customWidth="1"/>
    <col min="8" max="8" width="13.5" style="1" customWidth="1"/>
    <col min="9" max="9" width="11.58203125" style="1" customWidth="1"/>
    <col min="10" max="10" width="9.33203125" style="1" customWidth="1"/>
    <col min="11" max="11" width="9.83203125" style="1" customWidth="1"/>
    <col min="12" max="12" width="37.5" style="1" customWidth="1"/>
    <col min="13" max="13" width="3" style="1" customWidth="1"/>
    <col min="14" max="16384" width="10.6640625" style="1"/>
  </cols>
  <sheetData>
    <row r="1" spans="1:12" customFormat="1" ht="50" customHeight="1" x14ac:dyDescent="0.35">
      <c r="A1" s="8"/>
      <c r="B1" s="9" t="s">
        <v>0</v>
      </c>
      <c r="D1" s="9"/>
      <c r="F1" s="10"/>
    </row>
    <row r="2" spans="1:12" ht="24" customHeight="1" x14ac:dyDescent="0.35">
      <c r="C2" s="73" t="s">
        <v>1</v>
      </c>
      <c r="D2" s="19" t="s">
        <v>2</v>
      </c>
      <c r="E2" s="71" t="s">
        <v>3</v>
      </c>
      <c r="F2" s="77" t="s">
        <v>4</v>
      </c>
      <c r="G2" s="77"/>
      <c r="H2" s="77"/>
      <c r="I2" s="69" t="s">
        <v>565</v>
      </c>
      <c r="J2" s="67" t="s">
        <v>5</v>
      </c>
      <c r="K2" s="19" t="s">
        <v>6</v>
      </c>
    </row>
    <row r="3" spans="1:12" ht="24" customHeight="1" x14ac:dyDescent="0.4">
      <c r="C3" s="74" t="s">
        <v>564</v>
      </c>
      <c r="D3" s="72" t="s">
        <v>247</v>
      </c>
      <c r="E3" s="21" t="s">
        <v>248</v>
      </c>
      <c r="F3" s="78" t="s">
        <v>249</v>
      </c>
      <c r="G3" s="78"/>
      <c r="H3" s="78"/>
      <c r="I3" s="70" t="s">
        <v>247</v>
      </c>
      <c r="J3" s="68" t="s">
        <v>250</v>
      </c>
      <c r="K3" s="20" t="s">
        <v>7</v>
      </c>
    </row>
    <row r="4" spans="1:12" ht="18" customHeight="1" x14ac:dyDescent="0.35"/>
    <row r="5" spans="1:12" ht="36" customHeight="1" x14ac:dyDescent="0.35">
      <c r="B5" s="32" t="s">
        <v>8</v>
      </c>
      <c r="C5" s="28" t="s">
        <v>9</v>
      </c>
      <c r="D5" s="28" t="s">
        <v>10</v>
      </c>
      <c r="E5" s="28" t="s">
        <v>11</v>
      </c>
      <c r="F5" s="28" t="s">
        <v>12</v>
      </c>
      <c r="G5" s="28" t="s">
        <v>13</v>
      </c>
      <c r="H5" s="28" t="s">
        <v>14</v>
      </c>
      <c r="I5" s="28" t="s">
        <v>15</v>
      </c>
      <c r="J5" s="28" t="s">
        <v>16</v>
      </c>
      <c r="K5" s="28" t="s">
        <v>17</v>
      </c>
      <c r="L5" s="28" t="s">
        <v>18</v>
      </c>
    </row>
    <row r="6" spans="1:12" ht="18.5" customHeight="1" x14ac:dyDescent="0.45">
      <c r="B6" s="54">
        <v>1</v>
      </c>
      <c r="C6" s="62" t="s">
        <v>537</v>
      </c>
      <c r="D6" s="55"/>
      <c r="E6" s="27"/>
      <c r="F6" s="27"/>
      <c r="G6" s="24"/>
      <c r="H6" s="35"/>
      <c r="I6" s="24"/>
      <c r="J6" s="24"/>
      <c r="K6" s="24"/>
      <c r="L6" s="24"/>
    </row>
    <row r="7" spans="1:12" ht="18.5" customHeight="1" x14ac:dyDescent="0.35">
      <c r="B7" s="56">
        <v>1.1000000000000001</v>
      </c>
      <c r="C7" s="51" t="s">
        <v>47</v>
      </c>
      <c r="D7" s="57"/>
      <c r="E7" s="27" t="s">
        <v>547</v>
      </c>
      <c r="F7" s="60" t="s">
        <v>251</v>
      </c>
      <c r="G7" s="34">
        <v>0.97</v>
      </c>
      <c r="H7" s="37">
        <v>6000</v>
      </c>
      <c r="I7" s="38">
        <v>45754</v>
      </c>
      <c r="J7" s="38">
        <v>45756</v>
      </c>
      <c r="K7" s="38">
        <v>45756</v>
      </c>
      <c r="L7" s="27" t="s">
        <v>252</v>
      </c>
    </row>
    <row r="8" spans="1:12" ht="18.5" customHeight="1" x14ac:dyDescent="0.35">
      <c r="B8" s="52" t="s">
        <v>19</v>
      </c>
      <c r="C8" s="27" t="s">
        <v>48</v>
      </c>
      <c r="D8" s="58">
        <v>1.1000000000000001</v>
      </c>
      <c r="E8" s="27" t="s">
        <v>547</v>
      </c>
      <c r="F8" s="27" t="s">
        <v>509</v>
      </c>
      <c r="G8" s="40">
        <v>0.99</v>
      </c>
      <c r="H8" s="41">
        <v>1000</v>
      </c>
      <c r="I8" s="38">
        <v>45754</v>
      </c>
      <c r="J8" s="38">
        <v>45754</v>
      </c>
      <c r="K8" s="38">
        <v>45754</v>
      </c>
      <c r="L8" s="27" t="s">
        <v>253</v>
      </c>
    </row>
    <row r="9" spans="1:12" ht="18.5" customHeight="1" x14ac:dyDescent="0.35">
      <c r="B9" s="52" t="s">
        <v>20</v>
      </c>
      <c r="C9" s="27" t="s">
        <v>49</v>
      </c>
      <c r="D9" s="58">
        <v>1.1000000000000001</v>
      </c>
      <c r="E9" s="27" t="s">
        <v>547</v>
      </c>
      <c r="F9" s="27" t="s">
        <v>510</v>
      </c>
      <c r="G9" s="34">
        <v>0.94</v>
      </c>
      <c r="H9" s="41">
        <v>300</v>
      </c>
      <c r="I9" s="38">
        <v>45754</v>
      </c>
      <c r="J9" s="42">
        <v>45755</v>
      </c>
      <c r="K9" s="42">
        <v>45755</v>
      </c>
      <c r="L9" s="27" t="s">
        <v>254</v>
      </c>
    </row>
    <row r="10" spans="1:12" ht="18.5" customHeight="1" x14ac:dyDescent="0.35">
      <c r="B10" s="56">
        <v>1.2</v>
      </c>
      <c r="C10" s="27" t="s">
        <v>50</v>
      </c>
      <c r="D10" s="58">
        <v>1.1000000000000001</v>
      </c>
      <c r="E10" s="27" t="s">
        <v>547</v>
      </c>
      <c r="F10" s="27" t="s">
        <v>511</v>
      </c>
      <c r="G10" s="34">
        <v>0.98</v>
      </c>
      <c r="H10" s="37">
        <v>200</v>
      </c>
      <c r="I10" s="43">
        <v>45756</v>
      </c>
      <c r="J10" s="43">
        <v>45757</v>
      </c>
      <c r="K10" s="43">
        <v>45757</v>
      </c>
      <c r="L10" s="27" t="s">
        <v>255</v>
      </c>
    </row>
    <row r="11" spans="1:12" ht="18.5" customHeight="1" x14ac:dyDescent="0.35">
      <c r="B11" s="52" t="s">
        <v>21</v>
      </c>
      <c r="C11" s="27" t="s">
        <v>114</v>
      </c>
      <c r="D11" s="58">
        <v>1.2</v>
      </c>
      <c r="E11" s="27" t="s">
        <v>547</v>
      </c>
      <c r="F11" s="27" t="s">
        <v>512</v>
      </c>
      <c r="G11" s="40">
        <v>0.99</v>
      </c>
      <c r="H11" s="41">
        <v>400</v>
      </c>
      <c r="I11" s="43">
        <v>45756</v>
      </c>
      <c r="J11" s="43">
        <v>45756</v>
      </c>
      <c r="K11" s="43">
        <v>45756</v>
      </c>
      <c r="L11" s="27" t="s">
        <v>256</v>
      </c>
    </row>
    <row r="12" spans="1:12" ht="18.5" customHeight="1" x14ac:dyDescent="0.35">
      <c r="B12" s="52" t="s">
        <v>22</v>
      </c>
      <c r="C12" s="27" t="s">
        <v>71</v>
      </c>
      <c r="D12" s="58">
        <v>1.2</v>
      </c>
      <c r="E12" s="27" t="s">
        <v>547</v>
      </c>
      <c r="F12" s="27" t="s">
        <v>513</v>
      </c>
      <c r="G12" s="34">
        <v>1</v>
      </c>
      <c r="H12" s="41">
        <v>150</v>
      </c>
      <c r="I12" s="43">
        <v>45757</v>
      </c>
      <c r="J12" s="43">
        <v>45757</v>
      </c>
      <c r="K12" s="43">
        <v>45757</v>
      </c>
      <c r="L12" s="27" t="s">
        <v>257</v>
      </c>
    </row>
    <row r="13" spans="1:12" ht="18.5" customHeight="1" x14ac:dyDescent="0.35">
      <c r="B13" s="56">
        <v>1.3</v>
      </c>
      <c r="C13" s="27" t="s">
        <v>72</v>
      </c>
      <c r="D13" s="58">
        <v>1.1000000000000001</v>
      </c>
      <c r="E13" s="27" t="s">
        <v>547</v>
      </c>
      <c r="F13" s="27" t="s">
        <v>514</v>
      </c>
      <c r="G13" s="34">
        <v>1</v>
      </c>
      <c r="H13" s="41">
        <v>250</v>
      </c>
      <c r="I13" s="42">
        <v>45758</v>
      </c>
      <c r="J13" s="42">
        <v>45761</v>
      </c>
      <c r="K13" s="42">
        <v>45761</v>
      </c>
      <c r="L13" s="27" t="s">
        <v>258</v>
      </c>
    </row>
    <row r="14" spans="1:12" ht="18.5" customHeight="1" x14ac:dyDescent="0.35">
      <c r="B14" s="52" t="s">
        <v>23</v>
      </c>
      <c r="C14" s="27" t="s">
        <v>73</v>
      </c>
      <c r="D14" s="58">
        <v>1.3</v>
      </c>
      <c r="E14" s="27" t="s">
        <v>547</v>
      </c>
      <c r="F14" s="27" t="s">
        <v>515</v>
      </c>
      <c r="G14" s="34">
        <v>1</v>
      </c>
      <c r="H14" s="37">
        <v>500</v>
      </c>
      <c r="I14" s="42">
        <v>45758</v>
      </c>
      <c r="J14" s="43">
        <v>45759</v>
      </c>
      <c r="K14" s="43"/>
      <c r="L14" s="27" t="s">
        <v>259</v>
      </c>
    </row>
    <row r="15" spans="1:12" ht="18.5" customHeight="1" x14ac:dyDescent="0.35">
      <c r="B15" s="52" t="s">
        <v>24</v>
      </c>
      <c r="C15" s="27" t="s">
        <v>74</v>
      </c>
      <c r="D15" s="58">
        <v>1.3</v>
      </c>
      <c r="E15" s="27" t="s">
        <v>547</v>
      </c>
      <c r="F15" s="27" t="s">
        <v>516</v>
      </c>
      <c r="G15" s="40">
        <v>0.9</v>
      </c>
      <c r="H15" s="41">
        <v>200</v>
      </c>
      <c r="I15" s="42">
        <v>45759</v>
      </c>
      <c r="J15" s="42">
        <v>45761</v>
      </c>
      <c r="K15" s="42">
        <v>45761</v>
      </c>
      <c r="L15" s="27" t="s">
        <v>260</v>
      </c>
    </row>
    <row r="16" spans="1:12" ht="18.5" customHeight="1" x14ac:dyDescent="0.35">
      <c r="B16" s="52">
        <v>1.4</v>
      </c>
      <c r="C16" s="27" t="s">
        <v>75</v>
      </c>
      <c r="D16" s="58">
        <v>1.3</v>
      </c>
      <c r="E16" s="27" t="s">
        <v>547</v>
      </c>
      <c r="F16" s="27" t="s">
        <v>517</v>
      </c>
      <c r="G16" s="34">
        <v>0.99</v>
      </c>
      <c r="H16" s="41">
        <v>200</v>
      </c>
      <c r="I16" s="42">
        <v>45762</v>
      </c>
      <c r="J16" s="42">
        <v>45765</v>
      </c>
      <c r="K16" s="42">
        <v>45765</v>
      </c>
      <c r="L16" s="39" t="s">
        <v>261</v>
      </c>
    </row>
    <row r="17" spans="2:12" ht="18.5" customHeight="1" x14ac:dyDescent="0.35">
      <c r="B17" s="52" t="s">
        <v>51</v>
      </c>
      <c r="C17" s="27" t="s">
        <v>76</v>
      </c>
      <c r="D17" s="58">
        <v>1.4</v>
      </c>
      <c r="E17" s="27" t="s">
        <v>547</v>
      </c>
      <c r="F17" s="27" t="s">
        <v>518</v>
      </c>
      <c r="G17" s="34">
        <v>0.99</v>
      </c>
      <c r="H17" s="64">
        <v>500</v>
      </c>
      <c r="I17" s="65">
        <v>45762</v>
      </c>
      <c r="J17" s="65">
        <v>45763</v>
      </c>
      <c r="K17" s="65">
        <v>45763</v>
      </c>
      <c r="L17" s="27" t="s">
        <v>536</v>
      </c>
    </row>
    <row r="18" spans="2:12" ht="18.5" customHeight="1" x14ac:dyDescent="0.35">
      <c r="B18" s="52" t="s">
        <v>52</v>
      </c>
      <c r="C18" s="27" t="s">
        <v>77</v>
      </c>
      <c r="D18" s="58">
        <v>1.4</v>
      </c>
      <c r="E18" s="1" t="s">
        <v>547</v>
      </c>
      <c r="F18" s="27" t="s">
        <v>519</v>
      </c>
      <c r="G18" s="63">
        <v>0.97</v>
      </c>
      <c r="H18" s="37">
        <v>300</v>
      </c>
      <c r="I18" s="43">
        <v>45763</v>
      </c>
      <c r="J18" s="43">
        <v>45764</v>
      </c>
      <c r="K18" s="43">
        <v>45765</v>
      </c>
      <c r="L18" s="27" t="s">
        <v>535</v>
      </c>
    </row>
    <row r="19" spans="2:12" ht="18.5" customHeight="1" x14ac:dyDescent="0.35">
      <c r="B19" s="52">
        <v>1.5</v>
      </c>
      <c r="C19" s="27" t="s">
        <v>115</v>
      </c>
      <c r="D19" s="58">
        <v>1.4</v>
      </c>
      <c r="E19" s="27" t="s">
        <v>548</v>
      </c>
      <c r="F19" s="27" t="s">
        <v>520</v>
      </c>
      <c r="G19" s="40">
        <v>1</v>
      </c>
      <c r="H19" s="41">
        <v>200</v>
      </c>
      <c r="I19" s="42">
        <v>45766</v>
      </c>
      <c r="J19" s="42">
        <v>45769</v>
      </c>
      <c r="K19" s="42">
        <v>45769</v>
      </c>
      <c r="L19" s="27" t="s">
        <v>262</v>
      </c>
    </row>
    <row r="20" spans="2:12" ht="18.5" customHeight="1" x14ac:dyDescent="0.35">
      <c r="B20" s="52" t="s">
        <v>53</v>
      </c>
      <c r="C20" s="27" t="s">
        <v>78</v>
      </c>
      <c r="D20" s="58">
        <v>1.5</v>
      </c>
      <c r="E20" s="27" t="s">
        <v>548</v>
      </c>
      <c r="F20" s="27" t="s">
        <v>521</v>
      </c>
      <c r="G20" s="34">
        <v>1</v>
      </c>
      <c r="H20" s="41">
        <v>1000</v>
      </c>
      <c r="I20" s="42">
        <v>45766</v>
      </c>
      <c r="J20" s="42">
        <v>45767</v>
      </c>
      <c r="K20" s="42">
        <v>45767</v>
      </c>
      <c r="L20" s="27" t="s">
        <v>534</v>
      </c>
    </row>
    <row r="21" spans="2:12" ht="18.5" customHeight="1" x14ac:dyDescent="0.35">
      <c r="B21" s="52" t="s">
        <v>54</v>
      </c>
      <c r="C21" s="27" t="s">
        <v>79</v>
      </c>
      <c r="D21" s="58">
        <v>1.5</v>
      </c>
      <c r="E21" s="27" t="s">
        <v>548</v>
      </c>
      <c r="F21" s="27" t="s">
        <v>522</v>
      </c>
      <c r="G21" s="34">
        <v>0.99</v>
      </c>
      <c r="H21" s="41">
        <v>300</v>
      </c>
      <c r="I21" s="42">
        <v>45767</v>
      </c>
      <c r="J21" s="42">
        <v>45768</v>
      </c>
      <c r="K21" s="42">
        <v>45768</v>
      </c>
      <c r="L21" s="27" t="s">
        <v>533</v>
      </c>
    </row>
    <row r="22" spans="2:12" ht="18.5" customHeight="1" x14ac:dyDescent="0.35">
      <c r="B22" s="52">
        <v>1.6</v>
      </c>
      <c r="C22" s="27" t="s">
        <v>116</v>
      </c>
      <c r="D22" s="55">
        <v>1.4</v>
      </c>
      <c r="E22" s="27" t="s">
        <v>547</v>
      </c>
      <c r="F22" s="27" t="s">
        <v>523</v>
      </c>
      <c r="G22" s="34">
        <v>0.75</v>
      </c>
      <c r="H22" s="35">
        <v>300</v>
      </c>
      <c r="I22" s="38">
        <v>45770</v>
      </c>
      <c r="J22" s="38">
        <v>45773</v>
      </c>
      <c r="K22" s="38"/>
      <c r="L22" s="33" t="s">
        <v>263</v>
      </c>
    </row>
    <row r="23" spans="2:12" ht="18.5" customHeight="1" x14ac:dyDescent="0.35">
      <c r="B23" s="52" t="s">
        <v>55</v>
      </c>
      <c r="C23" s="27" t="s">
        <v>117</v>
      </c>
      <c r="D23" s="55">
        <v>1.6</v>
      </c>
      <c r="E23" s="27" t="s">
        <v>547</v>
      </c>
      <c r="F23" s="27" t="s">
        <v>524</v>
      </c>
      <c r="G23" s="44">
        <f>AVERAGE(G24:G48)</f>
        <v>0.67000000000000015</v>
      </c>
      <c r="H23" s="37">
        <v>600</v>
      </c>
      <c r="I23" s="43">
        <v>45770</v>
      </c>
      <c r="J23" s="43">
        <v>45770</v>
      </c>
      <c r="K23" s="43">
        <v>45770</v>
      </c>
      <c r="L23" s="27" t="s">
        <v>532</v>
      </c>
    </row>
    <row r="24" spans="2:12" ht="18.5" customHeight="1" x14ac:dyDescent="0.35">
      <c r="B24" s="52" t="s">
        <v>56</v>
      </c>
      <c r="C24" s="27" t="s">
        <v>80</v>
      </c>
      <c r="D24" s="55">
        <v>1.6</v>
      </c>
      <c r="E24" s="27" t="s">
        <v>547</v>
      </c>
      <c r="F24" s="27" t="s">
        <v>525</v>
      </c>
      <c r="G24" s="40">
        <v>0.6</v>
      </c>
      <c r="H24" s="41">
        <v>300</v>
      </c>
      <c r="I24" s="42">
        <v>45771</v>
      </c>
      <c r="J24" s="42">
        <v>45772</v>
      </c>
      <c r="K24" s="42">
        <v>99</v>
      </c>
      <c r="L24" s="27" t="s">
        <v>531</v>
      </c>
    </row>
    <row r="25" spans="2:12" ht="18.5" customHeight="1" x14ac:dyDescent="0.35">
      <c r="B25" s="52">
        <v>1.7</v>
      </c>
      <c r="C25" s="27" t="s">
        <v>118</v>
      </c>
      <c r="D25" s="58">
        <v>9.1999999999999993</v>
      </c>
      <c r="E25" s="27" t="s">
        <v>547</v>
      </c>
      <c r="F25" s="27" t="s">
        <v>526</v>
      </c>
      <c r="G25" s="34">
        <v>0</v>
      </c>
      <c r="H25" s="41">
        <v>300</v>
      </c>
      <c r="I25" s="42">
        <v>45774</v>
      </c>
      <c r="J25" s="42">
        <v>45778</v>
      </c>
      <c r="K25" s="42"/>
      <c r="L25" s="45" t="s">
        <v>264</v>
      </c>
    </row>
    <row r="26" spans="2:12" ht="18.5" customHeight="1" x14ac:dyDescent="0.35">
      <c r="B26" s="52" t="s">
        <v>57</v>
      </c>
      <c r="C26" s="27" t="s">
        <v>119</v>
      </c>
      <c r="D26" s="58">
        <v>1.7</v>
      </c>
      <c r="E26" s="27" t="s">
        <v>547</v>
      </c>
      <c r="F26" s="27" t="s">
        <v>527</v>
      </c>
      <c r="G26" s="34">
        <v>0</v>
      </c>
      <c r="H26" s="24">
        <v>1000</v>
      </c>
      <c r="I26" s="42">
        <v>45774</v>
      </c>
      <c r="J26" s="42">
        <v>45775</v>
      </c>
      <c r="K26" s="42"/>
      <c r="L26" s="27" t="s">
        <v>530</v>
      </c>
    </row>
    <row r="27" spans="2:12" ht="18.5" customHeight="1" x14ac:dyDescent="0.35">
      <c r="B27" s="52" t="s">
        <v>58</v>
      </c>
      <c r="C27" s="27" t="s">
        <v>81</v>
      </c>
      <c r="D27" s="58">
        <v>1.7</v>
      </c>
      <c r="E27" s="27" t="s">
        <v>547</v>
      </c>
      <c r="F27" s="27" t="s">
        <v>528</v>
      </c>
      <c r="G27" s="34">
        <v>0</v>
      </c>
      <c r="H27" s="41">
        <v>500</v>
      </c>
      <c r="I27" s="42">
        <v>45775</v>
      </c>
      <c r="J27" s="42">
        <v>45776</v>
      </c>
      <c r="K27" s="42"/>
      <c r="L27" s="45" t="s">
        <v>529</v>
      </c>
    </row>
    <row r="28" spans="2:12" ht="18.5" customHeight="1" x14ac:dyDescent="0.35">
      <c r="B28" s="52"/>
      <c r="C28" s="59"/>
      <c r="D28" s="57"/>
      <c r="E28" s="57"/>
      <c r="F28" s="57"/>
      <c r="G28" s="40"/>
      <c r="H28" s="37"/>
      <c r="I28" s="43"/>
      <c r="J28" s="43"/>
      <c r="K28" s="43"/>
      <c r="L28" s="24"/>
    </row>
    <row r="29" spans="2:12" ht="18.5" customHeight="1" x14ac:dyDescent="0.45">
      <c r="B29" s="54">
        <v>2</v>
      </c>
      <c r="C29" s="62" t="s">
        <v>82</v>
      </c>
      <c r="D29" s="58"/>
      <c r="E29" s="58"/>
      <c r="F29" s="58"/>
      <c r="G29" s="34"/>
      <c r="H29" s="41"/>
      <c r="I29" s="42"/>
      <c r="J29" s="42"/>
      <c r="K29" s="42"/>
      <c r="L29" s="39"/>
    </row>
    <row r="30" spans="2:12" ht="18.5" customHeight="1" x14ac:dyDescent="0.35">
      <c r="B30" s="56">
        <v>2.1</v>
      </c>
      <c r="C30" s="27" t="s">
        <v>83</v>
      </c>
      <c r="D30" s="58">
        <v>1.7</v>
      </c>
      <c r="E30" s="58" t="s">
        <v>549</v>
      </c>
      <c r="F30" s="27" t="s">
        <v>266</v>
      </c>
      <c r="G30" s="34">
        <v>1</v>
      </c>
      <c r="H30" s="41">
        <v>500</v>
      </c>
      <c r="I30" s="42">
        <v>45754</v>
      </c>
      <c r="J30" s="42">
        <v>45757</v>
      </c>
      <c r="K30" s="42">
        <v>45757</v>
      </c>
      <c r="L30" s="27" t="s">
        <v>281</v>
      </c>
    </row>
    <row r="31" spans="2:12" ht="18.5" customHeight="1" x14ac:dyDescent="0.35">
      <c r="B31" s="52" t="s">
        <v>25</v>
      </c>
      <c r="C31" s="27" t="s">
        <v>84</v>
      </c>
      <c r="D31" s="58">
        <v>2.1</v>
      </c>
      <c r="E31" s="58" t="s">
        <v>549</v>
      </c>
      <c r="F31" s="27" t="s">
        <v>267</v>
      </c>
      <c r="G31" s="34">
        <v>1</v>
      </c>
      <c r="H31" s="41">
        <v>250</v>
      </c>
      <c r="I31" s="42">
        <v>45754</v>
      </c>
      <c r="J31" s="42">
        <v>45755</v>
      </c>
      <c r="K31" s="42">
        <v>45755</v>
      </c>
      <c r="L31" s="27" t="s">
        <v>282</v>
      </c>
    </row>
    <row r="32" spans="2:12" ht="18.5" customHeight="1" x14ac:dyDescent="0.35">
      <c r="B32" s="52" t="s">
        <v>26</v>
      </c>
      <c r="C32" s="27" t="s">
        <v>85</v>
      </c>
      <c r="D32" s="58" t="s">
        <v>25</v>
      </c>
      <c r="E32" s="66" t="s">
        <v>549</v>
      </c>
      <c r="F32" s="27" t="s">
        <v>268</v>
      </c>
      <c r="G32" s="34">
        <v>1</v>
      </c>
      <c r="H32" s="41">
        <v>150</v>
      </c>
      <c r="I32" s="42">
        <v>45755</v>
      </c>
      <c r="J32" s="42">
        <v>45756</v>
      </c>
      <c r="K32" s="42">
        <v>45756</v>
      </c>
      <c r="L32" s="27" t="s">
        <v>283</v>
      </c>
    </row>
    <row r="33" spans="2:12" ht="18.5" customHeight="1" x14ac:dyDescent="0.35">
      <c r="B33" s="52">
        <v>2.2000000000000002</v>
      </c>
      <c r="C33" s="27" t="s">
        <v>85</v>
      </c>
      <c r="D33" s="57" t="s">
        <v>26</v>
      </c>
      <c r="E33" s="57" t="s">
        <v>550</v>
      </c>
      <c r="F33" s="27" t="s">
        <v>269</v>
      </c>
      <c r="G33" s="40">
        <v>0.99</v>
      </c>
      <c r="H33" s="41">
        <v>400</v>
      </c>
      <c r="I33" s="42">
        <v>45756</v>
      </c>
      <c r="J33" s="43">
        <v>45758</v>
      </c>
      <c r="K33" s="42">
        <v>45756</v>
      </c>
      <c r="L33" s="27" t="s">
        <v>284</v>
      </c>
    </row>
    <row r="34" spans="2:12" ht="18.5" customHeight="1" x14ac:dyDescent="0.35">
      <c r="B34" s="52" t="s">
        <v>59</v>
      </c>
      <c r="C34" s="27" t="s">
        <v>120</v>
      </c>
      <c r="D34" s="58">
        <v>2.2000000000000002</v>
      </c>
      <c r="E34" s="58" t="s">
        <v>550</v>
      </c>
      <c r="F34" s="27" t="s">
        <v>270</v>
      </c>
      <c r="G34" s="34">
        <v>0.6</v>
      </c>
      <c r="H34" s="41">
        <v>200</v>
      </c>
      <c r="I34" s="42">
        <v>45756</v>
      </c>
      <c r="J34" s="42">
        <v>45757</v>
      </c>
      <c r="K34" s="42">
        <v>45757</v>
      </c>
      <c r="L34" s="27" t="s">
        <v>285</v>
      </c>
    </row>
    <row r="35" spans="2:12" ht="18.5" customHeight="1" x14ac:dyDescent="0.35">
      <c r="B35" s="52" t="s">
        <v>60</v>
      </c>
      <c r="C35" s="27" t="s">
        <v>121</v>
      </c>
      <c r="D35" s="58">
        <v>2.1</v>
      </c>
      <c r="E35" s="58" t="s">
        <v>550</v>
      </c>
      <c r="F35" s="27" t="s">
        <v>271</v>
      </c>
      <c r="G35" s="34">
        <v>0.98</v>
      </c>
      <c r="H35" s="41">
        <v>150</v>
      </c>
      <c r="I35" s="42">
        <v>45757</v>
      </c>
      <c r="J35" s="43">
        <v>45758</v>
      </c>
      <c r="K35" s="43">
        <v>45758</v>
      </c>
      <c r="L35" s="27" t="s">
        <v>286</v>
      </c>
    </row>
    <row r="36" spans="2:12" ht="18.5" customHeight="1" x14ac:dyDescent="0.35">
      <c r="B36" s="52">
        <v>2.2999999999999998</v>
      </c>
      <c r="C36" s="27" t="s">
        <v>122</v>
      </c>
      <c r="D36" s="58" t="s">
        <v>265</v>
      </c>
      <c r="E36" s="58" t="s">
        <v>551</v>
      </c>
      <c r="F36" s="27" t="s">
        <v>273</v>
      </c>
      <c r="G36" s="34">
        <v>0.99</v>
      </c>
      <c r="H36" s="41">
        <v>300</v>
      </c>
      <c r="I36" s="43">
        <v>45758</v>
      </c>
      <c r="J36" s="42">
        <v>45760</v>
      </c>
      <c r="K36" s="42">
        <v>45760</v>
      </c>
      <c r="L36" s="27" t="s">
        <v>287</v>
      </c>
    </row>
    <row r="37" spans="2:12" ht="18.5" customHeight="1" x14ac:dyDescent="0.35">
      <c r="B37" s="52" t="s">
        <v>61</v>
      </c>
      <c r="C37" s="27" t="s">
        <v>86</v>
      </c>
      <c r="D37" s="55">
        <v>2.2999999999999998</v>
      </c>
      <c r="E37" s="55" t="s">
        <v>551</v>
      </c>
      <c r="F37" s="27" t="s">
        <v>272</v>
      </c>
      <c r="G37" s="44">
        <v>0.99</v>
      </c>
      <c r="H37" s="64">
        <v>100</v>
      </c>
      <c r="I37" s="43">
        <v>45758</v>
      </c>
      <c r="J37" s="65">
        <v>45759</v>
      </c>
      <c r="K37" s="38">
        <v>45759</v>
      </c>
      <c r="L37" s="27" t="s">
        <v>288</v>
      </c>
    </row>
    <row r="38" spans="2:12" ht="18.5" customHeight="1" x14ac:dyDescent="0.35">
      <c r="B38" s="52" t="s">
        <v>62</v>
      </c>
      <c r="C38" s="27" t="s">
        <v>123</v>
      </c>
      <c r="D38" s="57" t="s">
        <v>61</v>
      </c>
      <c r="E38" s="57" t="s">
        <v>551</v>
      </c>
      <c r="F38" s="27" t="s">
        <v>274</v>
      </c>
      <c r="G38" s="40">
        <v>0.99</v>
      </c>
      <c r="H38" s="37">
        <v>100</v>
      </c>
      <c r="I38" s="65">
        <v>45759</v>
      </c>
      <c r="J38" s="42">
        <v>45760</v>
      </c>
      <c r="K38" s="42">
        <v>45760</v>
      </c>
      <c r="L38" s="27" t="s">
        <v>289</v>
      </c>
    </row>
    <row r="39" spans="2:12" ht="18.5" customHeight="1" x14ac:dyDescent="0.35">
      <c r="B39" s="52">
        <v>2.4</v>
      </c>
      <c r="C39" s="27" t="s">
        <v>87</v>
      </c>
      <c r="D39" s="58" t="s">
        <v>62</v>
      </c>
      <c r="E39" s="58" t="s">
        <v>549</v>
      </c>
      <c r="F39" s="27" t="s">
        <v>275</v>
      </c>
      <c r="G39" s="34">
        <v>1</v>
      </c>
      <c r="H39" s="41">
        <v>150</v>
      </c>
      <c r="I39" s="42">
        <v>45760</v>
      </c>
      <c r="J39" s="42">
        <v>45760</v>
      </c>
      <c r="K39" s="42">
        <v>45761</v>
      </c>
      <c r="L39" s="27" t="s">
        <v>290</v>
      </c>
    </row>
    <row r="40" spans="2:12" ht="18.5" customHeight="1" x14ac:dyDescent="0.35">
      <c r="B40" s="52" t="s">
        <v>63</v>
      </c>
      <c r="C40" s="27" t="s">
        <v>88</v>
      </c>
      <c r="D40" s="58">
        <v>2.4</v>
      </c>
      <c r="E40" s="58" t="s">
        <v>549</v>
      </c>
      <c r="F40" s="27" t="s">
        <v>276</v>
      </c>
      <c r="G40" s="34">
        <v>0</v>
      </c>
      <c r="H40" s="35">
        <v>100</v>
      </c>
      <c r="I40" s="42">
        <v>45760</v>
      </c>
      <c r="J40" s="42">
        <v>45761</v>
      </c>
      <c r="K40" s="42">
        <v>45761</v>
      </c>
      <c r="L40" s="27" t="s">
        <v>291</v>
      </c>
    </row>
    <row r="41" spans="2:12" ht="18.5" customHeight="1" x14ac:dyDescent="0.35">
      <c r="B41" s="52" t="s">
        <v>64</v>
      </c>
      <c r="C41" s="27" t="s">
        <v>124</v>
      </c>
      <c r="D41" s="58" t="s">
        <v>63</v>
      </c>
      <c r="E41" s="58" t="s">
        <v>549</v>
      </c>
      <c r="F41" s="27" t="s">
        <v>277</v>
      </c>
      <c r="G41" s="34">
        <v>0.97</v>
      </c>
      <c r="H41" s="41">
        <v>50</v>
      </c>
      <c r="I41" s="42">
        <v>45761</v>
      </c>
      <c r="J41" s="42">
        <v>45761</v>
      </c>
      <c r="K41" s="42">
        <v>45762</v>
      </c>
      <c r="L41" s="27" t="s">
        <v>292</v>
      </c>
    </row>
    <row r="42" spans="2:12" ht="18.5" customHeight="1" x14ac:dyDescent="0.35">
      <c r="B42" s="52">
        <v>2.5</v>
      </c>
      <c r="C42" s="27" t="s">
        <v>125</v>
      </c>
      <c r="D42" s="57" t="s">
        <v>64</v>
      </c>
      <c r="E42" s="57" t="s">
        <v>549</v>
      </c>
      <c r="F42" s="27" t="s">
        <v>278</v>
      </c>
      <c r="G42" s="40">
        <v>0.98</v>
      </c>
      <c r="H42" s="37">
        <v>100</v>
      </c>
      <c r="I42" s="42">
        <v>45761</v>
      </c>
      <c r="J42" s="43">
        <v>45762</v>
      </c>
      <c r="K42" s="43">
        <v>45762</v>
      </c>
      <c r="L42" s="27" t="s">
        <v>293</v>
      </c>
    </row>
    <row r="43" spans="2:12" ht="18.5" customHeight="1" x14ac:dyDescent="0.35">
      <c r="B43" s="52" t="s">
        <v>66</v>
      </c>
      <c r="C43" s="27" t="s">
        <v>89</v>
      </c>
      <c r="D43" s="58">
        <v>2.5</v>
      </c>
      <c r="E43" s="58" t="s">
        <v>549</v>
      </c>
      <c r="F43" s="27" t="s">
        <v>279</v>
      </c>
      <c r="G43" s="34">
        <v>0</v>
      </c>
      <c r="H43" s="41">
        <v>50</v>
      </c>
      <c r="I43" s="42">
        <v>45761</v>
      </c>
      <c r="J43" s="43">
        <v>45762</v>
      </c>
      <c r="K43" s="43">
        <v>45762</v>
      </c>
      <c r="L43" s="27" t="s">
        <v>294</v>
      </c>
    </row>
    <row r="44" spans="2:12" ht="18.5" customHeight="1" x14ac:dyDescent="0.35">
      <c r="B44" s="52" t="s">
        <v>65</v>
      </c>
      <c r="C44" s="27" t="s">
        <v>126</v>
      </c>
      <c r="D44" s="58" t="s">
        <v>66</v>
      </c>
      <c r="E44" s="58" t="s">
        <v>547</v>
      </c>
      <c r="F44" s="27" t="s">
        <v>280</v>
      </c>
      <c r="G44" s="34">
        <v>0</v>
      </c>
      <c r="H44" s="41">
        <v>50</v>
      </c>
      <c r="I44" s="43">
        <v>45762</v>
      </c>
      <c r="J44" s="43">
        <v>45762</v>
      </c>
      <c r="K44" s="43">
        <v>45762</v>
      </c>
      <c r="L44" s="27" t="s">
        <v>295</v>
      </c>
    </row>
    <row r="45" spans="2:12" ht="18.5" customHeight="1" x14ac:dyDescent="0.35">
      <c r="B45" s="52"/>
      <c r="C45" s="59"/>
      <c r="D45" s="58"/>
      <c r="E45" s="58"/>
      <c r="F45" s="58"/>
      <c r="G45" s="34"/>
      <c r="H45" s="41"/>
      <c r="I45" s="42"/>
      <c r="J45" s="42"/>
      <c r="K45" s="42"/>
      <c r="L45" s="39"/>
    </row>
    <row r="46" spans="2:12" ht="18.5" customHeight="1" x14ac:dyDescent="0.45">
      <c r="B46" s="54">
        <v>3</v>
      </c>
      <c r="C46" s="62" t="s">
        <v>127</v>
      </c>
      <c r="D46" s="57"/>
      <c r="E46" s="57"/>
      <c r="F46" s="57"/>
      <c r="G46" s="40"/>
      <c r="H46" s="37"/>
      <c r="I46" s="43"/>
      <c r="J46" s="43"/>
      <c r="K46" s="43"/>
      <c r="L46" s="36"/>
    </row>
    <row r="47" spans="2:12" ht="18" customHeight="1" x14ac:dyDescent="0.35">
      <c r="B47" s="56">
        <v>3.1</v>
      </c>
      <c r="C47" s="27" t="s">
        <v>128</v>
      </c>
      <c r="D47" s="58" t="s">
        <v>65</v>
      </c>
      <c r="E47" s="58" t="s">
        <v>551</v>
      </c>
      <c r="F47" s="27" t="s">
        <v>305</v>
      </c>
      <c r="G47" s="34">
        <v>0.99</v>
      </c>
      <c r="H47" s="41">
        <v>300</v>
      </c>
      <c r="I47" s="42">
        <v>45763</v>
      </c>
      <c r="J47" s="42">
        <v>45764</v>
      </c>
      <c r="K47" s="42">
        <v>45764</v>
      </c>
      <c r="L47" s="27" t="s">
        <v>320</v>
      </c>
    </row>
    <row r="48" spans="2:12" ht="18" customHeight="1" x14ac:dyDescent="0.35">
      <c r="B48" s="52" t="s">
        <v>27</v>
      </c>
      <c r="C48" s="27" t="s">
        <v>129</v>
      </c>
      <c r="D48" s="58">
        <v>3.1</v>
      </c>
      <c r="E48" s="58" t="s">
        <v>551</v>
      </c>
      <c r="F48" s="27" t="s">
        <v>306</v>
      </c>
      <c r="G48" s="44">
        <v>0.99</v>
      </c>
      <c r="H48" s="41">
        <v>100</v>
      </c>
      <c r="I48" s="42">
        <v>45763</v>
      </c>
      <c r="J48" s="42">
        <v>45763</v>
      </c>
      <c r="K48" s="42">
        <v>45763</v>
      </c>
      <c r="L48" s="27" t="s">
        <v>321</v>
      </c>
    </row>
    <row r="49" spans="2:13" ht="18" customHeight="1" x14ac:dyDescent="0.35">
      <c r="B49" s="52" t="s">
        <v>28</v>
      </c>
      <c r="C49" s="27" t="s">
        <v>90</v>
      </c>
      <c r="D49" s="58">
        <v>3.1</v>
      </c>
      <c r="E49" s="58" t="s">
        <v>551</v>
      </c>
      <c r="F49" s="27" t="s">
        <v>307</v>
      </c>
      <c r="G49" s="40">
        <v>0.99</v>
      </c>
      <c r="H49" s="41">
        <v>100</v>
      </c>
      <c r="I49" s="42">
        <v>45763</v>
      </c>
      <c r="J49" s="42">
        <v>45764</v>
      </c>
      <c r="K49" s="42">
        <v>45764</v>
      </c>
      <c r="L49" s="27" t="s">
        <v>322</v>
      </c>
    </row>
    <row r="50" spans="2:13" ht="18" customHeight="1" x14ac:dyDescent="0.35">
      <c r="B50" s="52">
        <v>3.2</v>
      </c>
      <c r="C50" s="27" t="s">
        <v>130</v>
      </c>
      <c r="D50" s="57" t="s">
        <v>28</v>
      </c>
      <c r="E50" s="57" t="s">
        <v>552</v>
      </c>
      <c r="F50" s="27" t="s">
        <v>308</v>
      </c>
      <c r="G50" s="34">
        <v>1</v>
      </c>
      <c r="H50" s="37">
        <v>250</v>
      </c>
      <c r="I50" s="43">
        <v>45764</v>
      </c>
      <c r="J50" s="43">
        <v>45766</v>
      </c>
      <c r="K50" s="43">
        <v>45766</v>
      </c>
      <c r="L50" s="27" t="s">
        <v>334</v>
      </c>
    </row>
    <row r="51" spans="2:13" ht="18" customHeight="1" x14ac:dyDescent="0.35">
      <c r="B51" s="52" t="s">
        <v>31</v>
      </c>
      <c r="C51" s="27" t="s">
        <v>131</v>
      </c>
      <c r="D51" s="58" t="s">
        <v>296</v>
      </c>
      <c r="E51" s="58" t="s">
        <v>552</v>
      </c>
      <c r="F51" s="27" t="s">
        <v>309</v>
      </c>
      <c r="G51" s="34">
        <v>1</v>
      </c>
      <c r="H51" s="41">
        <v>100</v>
      </c>
      <c r="I51" s="43">
        <v>45764</v>
      </c>
      <c r="J51" s="42">
        <v>45765</v>
      </c>
      <c r="K51" s="42">
        <v>45765</v>
      </c>
      <c r="L51" s="27" t="s">
        <v>323</v>
      </c>
    </row>
    <row r="52" spans="2:13" ht="18" customHeight="1" x14ac:dyDescent="0.35">
      <c r="B52" s="56" t="s">
        <v>32</v>
      </c>
      <c r="C52" s="27" t="s">
        <v>132</v>
      </c>
      <c r="D52" s="58" t="s">
        <v>297</v>
      </c>
      <c r="E52" s="58" t="s">
        <v>552</v>
      </c>
      <c r="F52" s="27" t="s">
        <v>310</v>
      </c>
      <c r="G52" s="40">
        <v>0.9</v>
      </c>
      <c r="H52" s="41">
        <v>150</v>
      </c>
      <c r="I52" s="42">
        <v>45765</v>
      </c>
      <c r="J52" s="43">
        <v>45766</v>
      </c>
      <c r="K52" s="43">
        <v>45766</v>
      </c>
      <c r="L52" s="27" t="s">
        <v>324</v>
      </c>
    </row>
    <row r="53" spans="2:13" ht="18" customHeight="1" x14ac:dyDescent="0.35">
      <c r="B53" s="52">
        <v>3.3</v>
      </c>
      <c r="C53" s="27" t="s">
        <v>133</v>
      </c>
      <c r="D53" s="58" t="s">
        <v>29</v>
      </c>
      <c r="E53" s="58" t="s">
        <v>552</v>
      </c>
      <c r="F53" s="27" t="s">
        <v>311</v>
      </c>
      <c r="G53" s="34">
        <v>0.99</v>
      </c>
      <c r="H53" s="41">
        <v>900</v>
      </c>
      <c r="I53" s="42">
        <v>45767</v>
      </c>
      <c r="J53" s="42">
        <v>45769</v>
      </c>
      <c r="K53" s="42">
        <v>45769</v>
      </c>
      <c r="L53" s="27" t="s">
        <v>325</v>
      </c>
    </row>
    <row r="54" spans="2:13" ht="18" customHeight="1" x14ac:dyDescent="0.35">
      <c r="B54" s="52" t="s">
        <v>33</v>
      </c>
      <c r="C54" s="27" t="s">
        <v>91</v>
      </c>
      <c r="D54" s="57" t="s">
        <v>298</v>
      </c>
      <c r="E54" s="58" t="s">
        <v>552</v>
      </c>
      <c r="F54" s="27" t="s">
        <v>312</v>
      </c>
      <c r="G54" s="34">
        <v>0.99</v>
      </c>
      <c r="H54" s="37">
        <v>50</v>
      </c>
      <c r="I54" s="43">
        <v>45767</v>
      </c>
      <c r="J54" s="43">
        <v>45768</v>
      </c>
      <c r="K54" s="43">
        <v>45768</v>
      </c>
      <c r="L54" s="27" t="s">
        <v>326</v>
      </c>
    </row>
    <row r="55" spans="2:13" ht="18" customHeight="1" x14ac:dyDescent="0.35">
      <c r="B55" s="52" t="s">
        <v>34</v>
      </c>
      <c r="C55" s="27" t="s">
        <v>134</v>
      </c>
      <c r="D55" s="58" t="s">
        <v>299</v>
      </c>
      <c r="E55" s="58" t="s">
        <v>552</v>
      </c>
      <c r="F55" s="45" t="s">
        <v>313</v>
      </c>
      <c r="G55" s="63">
        <v>0.97</v>
      </c>
      <c r="H55" s="41">
        <v>50</v>
      </c>
      <c r="I55" s="42">
        <v>45768</v>
      </c>
      <c r="J55" s="42">
        <v>45769</v>
      </c>
      <c r="K55" s="42">
        <v>45769</v>
      </c>
      <c r="L55" s="27" t="s">
        <v>327</v>
      </c>
    </row>
    <row r="56" spans="2:13" ht="18" customHeight="1" x14ac:dyDescent="0.35">
      <c r="B56" s="52">
        <v>3.4</v>
      </c>
      <c r="C56" s="27" t="s">
        <v>135</v>
      </c>
      <c r="D56" s="58" t="s">
        <v>30</v>
      </c>
      <c r="E56" s="58" t="s">
        <v>553</v>
      </c>
      <c r="F56" s="45" t="s">
        <v>314</v>
      </c>
      <c r="G56" s="34">
        <v>0.98</v>
      </c>
      <c r="H56" s="41">
        <v>1800</v>
      </c>
      <c r="I56" s="42">
        <v>45769</v>
      </c>
      <c r="J56" s="42">
        <v>45772</v>
      </c>
      <c r="K56" s="42">
        <v>45772</v>
      </c>
      <c r="L56" s="27" t="s">
        <v>328</v>
      </c>
    </row>
    <row r="57" spans="2:13" ht="18" customHeight="1" x14ac:dyDescent="0.35">
      <c r="B57" s="56" t="s">
        <v>67</v>
      </c>
      <c r="C57" s="27" t="s">
        <v>136</v>
      </c>
      <c r="D57" s="60" t="s">
        <v>300</v>
      </c>
      <c r="E57" s="58" t="s">
        <v>553</v>
      </c>
      <c r="F57" s="27" t="s">
        <v>315</v>
      </c>
      <c r="G57" s="63">
        <v>0.98</v>
      </c>
      <c r="H57" s="64">
        <v>80</v>
      </c>
      <c r="I57" s="65">
        <v>45769</v>
      </c>
      <c r="J57" s="65">
        <v>45770</v>
      </c>
      <c r="K57" s="65">
        <v>45770</v>
      </c>
      <c r="L57" s="27" t="s">
        <v>329</v>
      </c>
    </row>
    <row r="58" spans="2:13" ht="18" customHeight="1" x14ac:dyDescent="0.35">
      <c r="B58" s="52" t="s">
        <v>68</v>
      </c>
      <c r="C58" s="27" t="s">
        <v>137</v>
      </c>
      <c r="D58" s="57" t="s">
        <v>301</v>
      </c>
      <c r="E58" s="58" t="s">
        <v>553</v>
      </c>
      <c r="F58" s="27" t="s">
        <v>316</v>
      </c>
      <c r="G58" s="40">
        <v>1</v>
      </c>
      <c r="H58" s="37">
        <v>120</v>
      </c>
      <c r="I58" s="65">
        <v>45771</v>
      </c>
      <c r="J58" s="65">
        <v>45772</v>
      </c>
      <c r="K58" s="65">
        <v>45772</v>
      </c>
      <c r="L58" s="27" t="s">
        <v>330</v>
      </c>
    </row>
    <row r="59" spans="2:13" ht="18" customHeight="1" x14ac:dyDescent="0.35">
      <c r="B59" s="52">
        <v>3.5</v>
      </c>
      <c r="C59" s="27" t="s">
        <v>138</v>
      </c>
      <c r="D59" s="58" t="s">
        <v>302</v>
      </c>
      <c r="E59" s="58" t="s">
        <v>549</v>
      </c>
      <c r="F59" s="27" t="s">
        <v>317</v>
      </c>
      <c r="G59" s="34">
        <v>0.25</v>
      </c>
      <c r="H59" s="41">
        <v>200</v>
      </c>
      <c r="I59" s="65">
        <v>45771</v>
      </c>
      <c r="J59" s="65">
        <v>45778</v>
      </c>
      <c r="K59" s="24"/>
      <c r="L59" s="27" t="s">
        <v>331</v>
      </c>
    </row>
    <row r="60" spans="2:13" ht="18" customHeight="1" x14ac:dyDescent="0.35">
      <c r="B60" s="52" t="s">
        <v>69</v>
      </c>
      <c r="C60" s="27" t="s">
        <v>139</v>
      </c>
      <c r="D60" s="58" t="s">
        <v>303</v>
      </c>
      <c r="E60" s="58" t="s">
        <v>549</v>
      </c>
      <c r="F60" s="27" t="s">
        <v>318</v>
      </c>
      <c r="G60" s="34">
        <v>0</v>
      </c>
      <c r="H60" s="41">
        <v>100</v>
      </c>
      <c r="I60" s="38">
        <v>45773</v>
      </c>
      <c r="J60" s="43">
        <v>45777</v>
      </c>
      <c r="K60" s="42"/>
      <c r="L60" s="45" t="s">
        <v>332</v>
      </c>
    </row>
    <row r="61" spans="2:13" ht="18" customHeight="1" x14ac:dyDescent="0.35">
      <c r="B61" s="52" t="s">
        <v>70</v>
      </c>
      <c r="C61" s="27" t="s">
        <v>140</v>
      </c>
      <c r="D61" s="58" t="s">
        <v>304</v>
      </c>
      <c r="E61" s="58" t="s">
        <v>549</v>
      </c>
      <c r="F61" s="27" t="s">
        <v>319</v>
      </c>
      <c r="G61" s="34">
        <v>0</v>
      </c>
      <c r="H61" s="41">
        <v>100</v>
      </c>
      <c r="I61" s="38">
        <v>45778</v>
      </c>
      <c r="J61" s="38">
        <v>45778</v>
      </c>
      <c r="K61" s="42"/>
      <c r="L61" s="45" t="s">
        <v>333</v>
      </c>
    </row>
    <row r="62" spans="2:13" ht="18" customHeight="1" x14ac:dyDescent="0.35">
      <c r="B62" s="53"/>
      <c r="C62" s="61"/>
      <c r="D62" s="61"/>
      <c r="E62" s="61"/>
      <c r="F62" s="61"/>
      <c r="G62" s="47"/>
      <c r="H62" s="48"/>
      <c r="I62" s="49"/>
      <c r="J62" s="49"/>
      <c r="K62" s="49"/>
      <c r="L62" s="50"/>
    </row>
    <row r="63" spans="2:13" ht="18" customHeight="1" x14ac:dyDescent="0.45">
      <c r="B63" s="54">
        <v>4</v>
      </c>
      <c r="C63" s="62" t="s">
        <v>538</v>
      </c>
      <c r="D63" s="57"/>
      <c r="E63" s="57"/>
      <c r="F63" s="57"/>
      <c r="G63" s="40"/>
      <c r="H63" s="37"/>
      <c r="I63" s="43"/>
      <c r="J63" s="43"/>
      <c r="K63" s="43"/>
      <c r="L63" s="36"/>
      <c r="M63" s="24"/>
    </row>
    <row r="64" spans="2:13" ht="18" customHeight="1" x14ac:dyDescent="0.35">
      <c r="B64" s="56">
        <v>4.0999999999999996</v>
      </c>
      <c r="C64" s="51" t="s">
        <v>141</v>
      </c>
      <c r="D64" s="58" t="s">
        <v>70</v>
      </c>
      <c r="E64" s="58" t="s">
        <v>554</v>
      </c>
      <c r="F64" s="27" t="s">
        <v>336</v>
      </c>
      <c r="G64" s="34">
        <v>0</v>
      </c>
      <c r="H64" s="46">
        <v>300</v>
      </c>
      <c r="I64" s="42">
        <v>45779</v>
      </c>
      <c r="J64" s="42">
        <v>45781</v>
      </c>
      <c r="K64" s="42"/>
      <c r="L64" s="27" t="s">
        <v>351</v>
      </c>
      <c r="M64" s="24"/>
    </row>
    <row r="65" spans="2:13" ht="18" customHeight="1" x14ac:dyDescent="0.35">
      <c r="B65" s="52" t="s">
        <v>35</v>
      </c>
      <c r="C65" s="27" t="s">
        <v>142</v>
      </c>
      <c r="D65" s="58">
        <v>4.0999999999999996</v>
      </c>
      <c r="E65" s="58" t="s">
        <v>554</v>
      </c>
      <c r="F65" s="27" t="s">
        <v>337</v>
      </c>
      <c r="G65" s="34">
        <v>0</v>
      </c>
      <c r="H65" s="41">
        <v>150</v>
      </c>
      <c r="I65" s="42">
        <v>45779</v>
      </c>
      <c r="J65" s="42">
        <v>45780</v>
      </c>
      <c r="K65" s="42"/>
      <c r="L65" s="27" t="s">
        <v>352</v>
      </c>
      <c r="M65" s="24"/>
    </row>
    <row r="66" spans="2:13" ht="18" customHeight="1" x14ac:dyDescent="0.35">
      <c r="B66" s="52" t="s">
        <v>36</v>
      </c>
      <c r="C66" s="27" t="s">
        <v>143</v>
      </c>
      <c r="D66" s="58" t="s">
        <v>335</v>
      </c>
      <c r="E66" s="58" t="s">
        <v>554</v>
      </c>
      <c r="F66" s="27" t="s">
        <v>338</v>
      </c>
      <c r="G66" s="34">
        <v>0</v>
      </c>
      <c r="H66" s="41">
        <v>150</v>
      </c>
      <c r="I66" s="42">
        <v>45780</v>
      </c>
      <c r="J66" s="42">
        <v>45781</v>
      </c>
      <c r="K66" s="42"/>
      <c r="L66" s="27" t="s">
        <v>353</v>
      </c>
      <c r="M66" s="24"/>
    </row>
    <row r="67" spans="2:13" ht="18" customHeight="1" x14ac:dyDescent="0.35">
      <c r="B67" s="52">
        <v>4.2</v>
      </c>
      <c r="C67" s="27" t="s">
        <v>144</v>
      </c>
      <c r="D67" s="58" t="s">
        <v>36</v>
      </c>
      <c r="E67" s="58" t="s">
        <v>547</v>
      </c>
      <c r="F67" s="27" t="s">
        <v>339</v>
      </c>
      <c r="G67" s="34">
        <v>0</v>
      </c>
      <c r="H67" s="41">
        <v>200</v>
      </c>
      <c r="I67" s="42">
        <v>45782</v>
      </c>
      <c r="J67" s="42">
        <v>45783</v>
      </c>
      <c r="K67" s="42"/>
      <c r="L67" s="27" t="s">
        <v>354</v>
      </c>
      <c r="M67" s="24"/>
    </row>
    <row r="68" spans="2:13" ht="18" customHeight="1" x14ac:dyDescent="0.35">
      <c r="B68" s="56" t="s">
        <v>37</v>
      </c>
      <c r="C68" s="27" t="s">
        <v>92</v>
      </c>
      <c r="D68" s="57">
        <v>4.2</v>
      </c>
      <c r="E68" s="58" t="s">
        <v>547</v>
      </c>
      <c r="F68" s="27" t="s">
        <v>340</v>
      </c>
      <c r="G68" s="40">
        <v>0</v>
      </c>
      <c r="H68" s="37">
        <v>100</v>
      </c>
      <c r="I68" s="42">
        <v>45782</v>
      </c>
      <c r="J68" s="42">
        <v>45782</v>
      </c>
      <c r="K68" s="43"/>
      <c r="L68" s="27" t="s">
        <v>355</v>
      </c>
      <c r="M68" s="24"/>
    </row>
    <row r="69" spans="2:13" ht="18" customHeight="1" x14ac:dyDescent="0.35">
      <c r="B69" s="52" t="s">
        <v>38</v>
      </c>
      <c r="C69" s="27" t="s">
        <v>145</v>
      </c>
      <c r="D69" s="58" t="s">
        <v>37</v>
      </c>
      <c r="E69" s="58" t="s">
        <v>547</v>
      </c>
      <c r="F69" s="27" t="s">
        <v>341</v>
      </c>
      <c r="G69" s="34">
        <v>0</v>
      </c>
      <c r="H69" s="41">
        <v>100</v>
      </c>
      <c r="I69" s="42">
        <v>45783</v>
      </c>
      <c r="J69" s="42">
        <v>45783</v>
      </c>
      <c r="K69" s="42"/>
      <c r="L69" s="27" t="s">
        <v>356</v>
      </c>
      <c r="M69" s="24"/>
    </row>
    <row r="70" spans="2:13" ht="18" customHeight="1" x14ac:dyDescent="0.35">
      <c r="B70" s="52">
        <v>4.3</v>
      </c>
      <c r="C70" s="27" t="s">
        <v>93</v>
      </c>
      <c r="D70" s="58" t="s">
        <v>38</v>
      </c>
      <c r="E70" s="58" t="s">
        <v>555</v>
      </c>
      <c r="F70" s="27" t="s">
        <v>342</v>
      </c>
      <c r="G70" s="34">
        <v>0</v>
      </c>
      <c r="H70" s="41">
        <v>500</v>
      </c>
      <c r="I70" s="42">
        <v>45784</v>
      </c>
      <c r="J70" s="42">
        <v>45787</v>
      </c>
      <c r="K70" s="42"/>
      <c r="L70" s="27" t="s">
        <v>357</v>
      </c>
      <c r="M70" s="24"/>
    </row>
    <row r="71" spans="2:13" ht="18" customHeight="1" x14ac:dyDescent="0.35">
      <c r="B71" s="52" t="s">
        <v>39</v>
      </c>
      <c r="C71" s="27" t="s">
        <v>94</v>
      </c>
      <c r="D71" s="58">
        <v>4.3</v>
      </c>
      <c r="E71" s="58" t="s">
        <v>555</v>
      </c>
      <c r="F71" s="27" t="s">
        <v>343</v>
      </c>
      <c r="G71" s="34">
        <v>0</v>
      </c>
      <c r="H71" s="41">
        <v>250</v>
      </c>
      <c r="I71" s="42">
        <v>45784</v>
      </c>
      <c r="J71" s="42">
        <v>45785</v>
      </c>
      <c r="K71" s="42"/>
      <c r="L71" s="27" t="s">
        <v>358</v>
      </c>
      <c r="M71" s="24"/>
    </row>
    <row r="72" spans="2:13" ht="18" customHeight="1" x14ac:dyDescent="0.35">
      <c r="B72" s="56" t="s">
        <v>40</v>
      </c>
      <c r="C72" s="27" t="s">
        <v>146</v>
      </c>
      <c r="D72" s="58" t="s">
        <v>39</v>
      </c>
      <c r="E72" s="58" t="s">
        <v>555</v>
      </c>
      <c r="F72" s="27" t="s">
        <v>344</v>
      </c>
      <c r="G72" s="34">
        <v>0</v>
      </c>
      <c r="H72" s="41">
        <v>250</v>
      </c>
      <c r="I72" s="42">
        <v>45786</v>
      </c>
      <c r="J72" s="42">
        <v>45787</v>
      </c>
      <c r="K72" s="42"/>
      <c r="L72" s="27" t="s">
        <v>359</v>
      </c>
      <c r="M72" s="24"/>
    </row>
    <row r="73" spans="2:13" ht="18" customHeight="1" x14ac:dyDescent="0.35">
      <c r="B73" s="52">
        <v>4.4000000000000004</v>
      </c>
      <c r="C73" s="27" t="s">
        <v>147</v>
      </c>
      <c r="D73" s="57" t="s">
        <v>40</v>
      </c>
      <c r="E73" s="58" t="s">
        <v>555</v>
      </c>
      <c r="F73" s="27" t="s">
        <v>345</v>
      </c>
      <c r="G73" s="40">
        <v>0</v>
      </c>
      <c r="H73" s="37">
        <v>1000</v>
      </c>
      <c r="I73" s="43">
        <v>45788</v>
      </c>
      <c r="J73" s="43">
        <v>45792</v>
      </c>
      <c r="K73" s="43"/>
      <c r="L73" s="27" t="s">
        <v>360</v>
      </c>
      <c r="M73" s="24"/>
    </row>
    <row r="74" spans="2:13" ht="18" customHeight="1" x14ac:dyDescent="0.35">
      <c r="B74" s="52" t="s">
        <v>43</v>
      </c>
      <c r="C74" s="27" t="s">
        <v>148</v>
      </c>
      <c r="D74" s="58">
        <v>4.4000000000000004</v>
      </c>
      <c r="E74" s="58" t="s">
        <v>555</v>
      </c>
      <c r="F74" s="27" t="s">
        <v>346</v>
      </c>
      <c r="G74" s="34">
        <v>0</v>
      </c>
      <c r="H74" s="41">
        <v>500</v>
      </c>
      <c r="I74" s="42">
        <v>45788</v>
      </c>
      <c r="J74" s="42">
        <v>45790</v>
      </c>
      <c r="K74" s="42"/>
      <c r="L74" s="27" t="s">
        <v>361</v>
      </c>
      <c r="M74" s="24"/>
    </row>
    <row r="75" spans="2:13" ht="18" customHeight="1" x14ac:dyDescent="0.35">
      <c r="B75" s="52" t="s">
        <v>44</v>
      </c>
      <c r="C75" s="27" t="s">
        <v>149</v>
      </c>
      <c r="D75" s="58" t="s">
        <v>43</v>
      </c>
      <c r="E75" s="58" t="s">
        <v>555</v>
      </c>
      <c r="F75" s="27" t="s">
        <v>347</v>
      </c>
      <c r="G75" s="34">
        <v>0</v>
      </c>
      <c r="H75" s="41">
        <v>500</v>
      </c>
      <c r="I75" s="42">
        <v>45791</v>
      </c>
      <c r="J75" s="42">
        <v>45792</v>
      </c>
      <c r="K75" s="42"/>
      <c r="L75" s="27" t="s">
        <v>362</v>
      </c>
      <c r="M75" s="24"/>
    </row>
    <row r="76" spans="2:13" ht="18" customHeight="1" x14ac:dyDescent="0.35">
      <c r="B76" s="52">
        <v>4.5</v>
      </c>
      <c r="C76" s="27" t="s">
        <v>150</v>
      </c>
      <c r="D76" s="58" t="s">
        <v>44</v>
      </c>
      <c r="E76" s="58" t="s">
        <v>551</v>
      </c>
      <c r="F76" s="27" t="s">
        <v>348</v>
      </c>
      <c r="G76" s="34">
        <v>0</v>
      </c>
      <c r="H76" s="41">
        <v>700</v>
      </c>
      <c r="I76" s="42">
        <v>45793</v>
      </c>
      <c r="J76" s="42">
        <v>45795</v>
      </c>
      <c r="K76" s="42"/>
      <c r="L76" s="27" t="s">
        <v>365</v>
      </c>
      <c r="M76" s="24"/>
    </row>
    <row r="77" spans="2:13" ht="18" customHeight="1" x14ac:dyDescent="0.35">
      <c r="B77" s="52" t="s">
        <v>45</v>
      </c>
      <c r="C77" s="27" t="s">
        <v>151</v>
      </c>
      <c r="D77" s="55">
        <v>4.5</v>
      </c>
      <c r="E77" s="58" t="s">
        <v>551</v>
      </c>
      <c r="F77" s="27" t="s">
        <v>349</v>
      </c>
      <c r="G77" s="40">
        <v>0</v>
      </c>
      <c r="H77" s="64">
        <v>350</v>
      </c>
      <c r="I77" s="65">
        <v>45793</v>
      </c>
      <c r="J77" s="65">
        <v>45794</v>
      </c>
      <c r="K77" s="38"/>
      <c r="L77" s="27" t="s">
        <v>363</v>
      </c>
      <c r="M77" s="24"/>
    </row>
    <row r="78" spans="2:13" ht="18" customHeight="1" x14ac:dyDescent="0.35">
      <c r="B78" s="52" t="s">
        <v>46</v>
      </c>
      <c r="C78" s="27" t="s">
        <v>152</v>
      </c>
      <c r="D78" s="57" t="s">
        <v>45</v>
      </c>
      <c r="E78" s="58" t="s">
        <v>551</v>
      </c>
      <c r="F78" s="27" t="s">
        <v>350</v>
      </c>
      <c r="G78" s="40">
        <v>0</v>
      </c>
      <c r="H78" s="37">
        <v>350</v>
      </c>
      <c r="I78" s="43">
        <v>45794</v>
      </c>
      <c r="J78" s="43">
        <v>45795</v>
      </c>
      <c r="K78" s="43"/>
      <c r="L78" s="27" t="s">
        <v>364</v>
      </c>
      <c r="M78" s="45"/>
    </row>
    <row r="79" spans="2:13" ht="18" customHeight="1" x14ac:dyDescent="0.35">
      <c r="B79" s="52"/>
      <c r="C79" s="27"/>
      <c r="D79" s="57"/>
      <c r="E79" s="57"/>
      <c r="F79" s="57"/>
      <c r="G79" s="40"/>
      <c r="H79" s="37"/>
      <c r="I79" s="43"/>
      <c r="J79" s="43"/>
      <c r="K79" s="43"/>
      <c r="L79" s="36"/>
      <c r="M79" s="24"/>
    </row>
    <row r="80" spans="2:13" ht="18" customHeight="1" x14ac:dyDescent="0.45">
      <c r="B80" s="52">
        <v>5</v>
      </c>
      <c r="C80" s="62" t="s">
        <v>539</v>
      </c>
      <c r="D80" s="57"/>
      <c r="E80" s="57"/>
      <c r="F80" s="57"/>
      <c r="G80" s="40"/>
      <c r="H80" s="37"/>
      <c r="I80" s="43"/>
      <c r="J80" s="43"/>
      <c r="K80" s="43"/>
      <c r="L80" s="36"/>
      <c r="M80" s="24"/>
    </row>
    <row r="81" spans="2:13" ht="18" customHeight="1" x14ac:dyDescent="0.35">
      <c r="B81" s="52">
        <v>5.0999999999999996</v>
      </c>
      <c r="C81" s="51" t="s">
        <v>153</v>
      </c>
      <c r="D81" s="27" t="s">
        <v>366</v>
      </c>
      <c r="E81" s="27" t="s">
        <v>556</v>
      </c>
      <c r="F81" s="27" t="s">
        <v>369</v>
      </c>
      <c r="G81" s="40">
        <v>0.7</v>
      </c>
      <c r="H81" s="37">
        <v>5000</v>
      </c>
      <c r="I81" s="43">
        <v>45765</v>
      </c>
      <c r="J81" s="43">
        <v>45769</v>
      </c>
      <c r="K81" s="43">
        <v>45770</v>
      </c>
      <c r="L81" s="27" t="s">
        <v>384</v>
      </c>
      <c r="M81" s="24"/>
    </row>
    <row r="82" spans="2:13" ht="18" customHeight="1" x14ac:dyDescent="0.35">
      <c r="B82" s="52" t="s">
        <v>96</v>
      </c>
      <c r="C82" s="27" t="s">
        <v>95</v>
      </c>
      <c r="D82" s="57" t="s">
        <v>368</v>
      </c>
      <c r="E82" s="27" t="s">
        <v>556</v>
      </c>
      <c r="F82" s="27" t="s">
        <v>370</v>
      </c>
      <c r="G82" s="40">
        <v>1</v>
      </c>
      <c r="H82" s="37">
        <v>1000</v>
      </c>
      <c r="I82" s="43">
        <v>45762</v>
      </c>
      <c r="J82" s="43">
        <v>45763</v>
      </c>
      <c r="K82" s="43">
        <v>45763</v>
      </c>
      <c r="L82" s="27" t="s">
        <v>385</v>
      </c>
      <c r="M82" s="24"/>
    </row>
    <row r="83" spans="2:13" ht="18" customHeight="1" x14ac:dyDescent="0.35">
      <c r="B83" s="52" t="s">
        <v>97</v>
      </c>
      <c r="C83" s="27" t="s">
        <v>154</v>
      </c>
      <c r="D83" s="57" t="s">
        <v>367</v>
      </c>
      <c r="E83" s="27" t="s">
        <v>556</v>
      </c>
      <c r="F83" s="27" t="s">
        <v>371</v>
      </c>
      <c r="G83" s="40">
        <v>0.6</v>
      </c>
      <c r="H83" s="37">
        <v>2000</v>
      </c>
      <c r="I83" s="43">
        <v>45764</v>
      </c>
      <c r="J83" s="43">
        <v>45766</v>
      </c>
      <c r="K83" s="43">
        <v>45766</v>
      </c>
      <c r="L83" s="27" t="s">
        <v>386</v>
      </c>
      <c r="M83" s="24"/>
    </row>
    <row r="84" spans="2:13" ht="18" customHeight="1" x14ac:dyDescent="0.35">
      <c r="B84" s="52">
        <v>5.2</v>
      </c>
      <c r="C84" s="27" t="s">
        <v>155</v>
      </c>
      <c r="D84" s="57">
        <v>5.0999999999999996</v>
      </c>
      <c r="E84" s="27" t="s">
        <v>557</v>
      </c>
      <c r="F84" s="27" t="s">
        <v>372</v>
      </c>
      <c r="G84" s="40">
        <v>0.3</v>
      </c>
      <c r="H84" s="37">
        <v>12000</v>
      </c>
      <c r="I84" s="43">
        <v>45770</v>
      </c>
      <c r="J84" s="43">
        <v>45777</v>
      </c>
      <c r="K84" s="43"/>
      <c r="L84" s="27" t="s">
        <v>387</v>
      </c>
      <c r="M84" s="24"/>
    </row>
    <row r="85" spans="2:13" ht="18" customHeight="1" x14ac:dyDescent="0.35">
      <c r="B85" s="52" t="s">
        <v>99</v>
      </c>
      <c r="C85" s="27" t="s">
        <v>107</v>
      </c>
      <c r="D85" s="57">
        <v>5.2</v>
      </c>
      <c r="E85" s="27" t="s">
        <v>557</v>
      </c>
      <c r="F85" s="27" t="s">
        <v>373</v>
      </c>
      <c r="G85" s="40">
        <v>1</v>
      </c>
      <c r="H85" s="37">
        <v>500</v>
      </c>
      <c r="I85" s="43">
        <v>45768</v>
      </c>
      <c r="J85" s="43">
        <v>45769</v>
      </c>
      <c r="K85" s="43">
        <v>45769</v>
      </c>
      <c r="L85" s="27" t="s">
        <v>388</v>
      </c>
      <c r="M85" s="24"/>
    </row>
    <row r="86" spans="2:13" ht="18" customHeight="1" x14ac:dyDescent="0.35">
      <c r="B86" s="52" t="s">
        <v>101</v>
      </c>
      <c r="C86" s="27" t="s">
        <v>108</v>
      </c>
      <c r="D86" s="57" t="s">
        <v>99</v>
      </c>
      <c r="E86" s="27" t="s">
        <v>557</v>
      </c>
      <c r="F86" s="27" t="s">
        <v>374</v>
      </c>
      <c r="G86" s="40">
        <v>0.4</v>
      </c>
      <c r="H86" s="37">
        <v>1500</v>
      </c>
      <c r="I86" s="43">
        <v>45770</v>
      </c>
      <c r="J86" s="43">
        <v>45778</v>
      </c>
      <c r="K86" s="43"/>
      <c r="L86" s="27" t="s">
        <v>389</v>
      </c>
      <c r="M86" s="24"/>
    </row>
    <row r="87" spans="2:13" ht="18" customHeight="1" x14ac:dyDescent="0.35">
      <c r="B87" s="52">
        <v>5.3</v>
      </c>
      <c r="C87" s="27" t="s">
        <v>109</v>
      </c>
      <c r="D87" s="57">
        <v>5.2</v>
      </c>
      <c r="E87" s="27" t="s">
        <v>558</v>
      </c>
      <c r="F87" s="27" t="s">
        <v>375</v>
      </c>
      <c r="G87" s="40">
        <v>0</v>
      </c>
      <c r="H87" s="37">
        <v>25000</v>
      </c>
      <c r="I87" s="43">
        <v>45779</v>
      </c>
      <c r="J87" s="43">
        <v>45787</v>
      </c>
      <c r="K87" s="43"/>
      <c r="L87" s="27" t="s">
        <v>390</v>
      </c>
      <c r="M87" s="24"/>
    </row>
    <row r="88" spans="2:13" ht="18" customHeight="1" x14ac:dyDescent="0.35">
      <c r="B88" s="52" t="s">
        <v>98</v>
      </c>
      <c r="C88" s="27" t="s">
        <v>110</v>
      </c>
      <c r="D88" s="57">
        <v>5.3</v>
      </c>
      <c r="E88" s="27" t="s">
        <v>558</v>
      </c>
      <c r="F88" s="27" t="s">
        <v>376</v>
      </c>
      <c r="G88" s="40">
        <v>0</v>
      </c>
      <c r="H88" s="37">
        <v>10000</v>
      </c>
      <c r="I88" s="43">
        <v>45780</v>
      </c>
      <c r="J88" s="43">
        <v>45784</v>
      </c>
      <c r="K88" s="43"/>
      <c r="L88" s="27" t="s">
        <v>391</v>
      </c>
      <c r="M88" s="24"/>
    </row>
    <row r="89" spans="2:13" ht="18" customHeight="1" x14ac:dyDescent="0.35">
      <c r="B89" s="52" t="s">
        <v>102</v>
      </c>
      <c r="C89" s="27" t="s">
        <v>111</v>
      </c>
      <c r="D89" s="57" t="s">
        <v>98</v>
      </c>
      <c r="E89" s="27" t="s">
        <v>558</v>
      </c>
      <c r="F89" s="27" t="s">
        <v>377</v>
      </c>
      <c r="G89" s="40">
        <v>0</v>
      </c>
      <c r="H89" s="37">
        <v>1000</v>
      </c>
      <c r="I89" s="43">
        <v>45785</v>
      </c>
      <c r="J89" s="43">
        <v>45786</v>
      </c>
      <c r="K89" s="43"/>
      <c r="L89" s="27" t="s">
        <v>392</v>
      </c>
      <c r="M89" s="24"/>
    </row>
    <row r="90" spans="2:13" ht="18" customHeight="1" x14ac:dyDescent="0.35">
      <c r="B90" s="52">
        <v>5.4</v>
      </c>
      <c r="C90" s="27" t="s">
        <v>112</v>
      </c>
      <c r="D90" s="57" t="s">
        <v>100</v>
      </c>
      <c r="E90" s="27" t="s">
        <v>558</v>
      </c>
      <c r="F90" s="27" t="s">
        <v>378</v>
      </c>
      <c r="G90" s="40">
        <v>0</v>
      </c>
      <c r="H90" s="37">
        <v>4000</v>
      </c>
      <c r="I90" s="43">
        <v>45788</v>
      </c>
      <c r="J90" s="43">
        <v>45791</v>
      </c>
      <c r="K90" s="43"/>
      <c r="L90" s="27" t="s">
        <v>393</v>
      </c>
      <c r="M90" s="24"/>
    </row>
    <row r="91" spans="2:13" ht="18" customHeight="1" x14ac:dyDescent="0.35">
      <c r="B91" s="52" t="s">
        <v>103</v>
      </c>
      <c r="C91" s="27" t="s">
        <v>113</v>
      </c>
      <c r="D91" s="57" t="s">
        <v>103</v>
      </c>
      <c r="E91" s="27" t="s">
        <v>559</v>
      </c>
      <c r="F91" s="27" t="s">
        <v>379</v>
      </c>
      <c r="G91" s="40">
        <v>0</v>
      </c>
      <c r="H91" s="37">
        <v>1000</v>
      </c>
      <c r="I91" s="43">
        <v>45788</v>
      </c>
      <c r="J91" s="43">
        <v>45789</v>
      </c>
      <c r="K91" s="43"/>
      <c r="L91" s="27" t="s">
        <v>394</v>
      </c>
      <c r="M91" s="24"/>
    </row>
    <row r="92" spans="2:13" ht="18" customHeight="1" x14ac:dyDescent="0.35">
      <c r="B92" s="52" t="s">
        <v>104</v>
      </c>
      <c r="C92" s="27" t="s">
        <v>156</v>
      </c>
      <c r="D92" s="57" t="s">
        <v>103</v>
      </c>
      <c r="E92" s="27" t="s">
        <v>559</v>
      </c>
      <c r="F92" s="27" t="s">
        <v>380</v>
      </c>
      <c r="G92" s="40">
        <v>0</v>
      </c>
      <c r="H92" s="37">
        <v>500</v>
      </c>
      <c r="I92" s="43">
        <v>45790</v>
      </c>
      <c r="J92" s="43">
        <v>45791</v>
      </c>
      <c r="K92" s="43"/>
      <c r="L92" s="27" t="s">
        <v>395</v>
      </c>
      <c r="M92" s="24"/>
    </row>
    <row r="93" spans="2:13" ht="18" customHeight="1" x14ac:dyDescent="0.35">
      <c r="B93" s="52">
        <v>5.5</v>
      </c>
      <c r="C93" s="27" t="s">
        <v>157</v>
      </c>
      <c r="D93" s="57" t="s">
        <v>104</v>
      </c>
      <c r="E93" s="27" t="s">
        <v>557</v>
      </c>
      <c r="F93" s="27" t="s">
        <v>382</v>
      </c>
      <c r="G93" s="40">
        <v>0</v>
      </c>
      <c r="H93" s="37">
        <v>3000</v>
      </c>
      <c r="I93" s="43">
        <v>45792</v>
      </c>
      <c r="J93" s="43">
        <v>45795</v>
      </c>
      <c r="K93" s="43"/>
      <c r="L93" s="27" t="s">
        <v>396</v>
      </c>
      <c r="M93" s="24"/>
    </row>
    <row r="94" spans="2:13" ht="18" customHeight="1" x14ac:dyDescent="0.35">
      <c r="B94" s="52" t="s">
        <v>105</v>
      </c>
      <c r="C94" s="27" t="s">
        <v>158</v>
      </c>
      <c r="D94" s="57">
        <v>5.5</v>
      </c>
      <c r="E94" s="27" t="s">
        <v>557</v>
      </c>
      <c r="F94" s="27" t="s">
        <v>381</v>
      </c>
      <c r="G94" s="40">
        <v>0</v>
      </c>
      <c r="H94" s="37">
        <v>1000</v>
      </c>
      <c r="I94" s="43">
        <v>45792</v>
      </c>
      <c r="J94" s="43">
        <v>45793</v>
      </c>
      <c r="K94" s="43"/>
      <c r="L94" s="27" t="s">
        <v>397</v>
      </c>
      <c r="M94" s="24"/>
    </row>
    <row r="95" spans="2:13" ht="18" customHeight="1" x14ac:dyDescent="0.35">
      <c r="B95" s="52" t="s">
        <v>106</v>
      </c>
      <c r="C95" s="27" t="s">
        <v>159</v>
      </c>
      <c r="D95" s="57" t="s">
        <v>105</v>
      </c>
      <c r="E95" s="27" t="s">
        <v>557</v>
      </c>
      <c r="F95" s="27" t="s">
        <v>383</v>
      </c>
      <c r="G95" s="40">
        <v>0</v>
      </c>
      <c r="H95" s="37">
        <v>500</v>
      </c>
      <c r="I95" s="43">
        <v>45794</v>
      </c>
      <c r="J95" s="43">
        <v>45795</v>
      </c>
      <c r="K95" s="43"/>
      <c r="L95" s="27" t="s">
        <v>398</v>
      </c>
      <c r="M95" s="24"/>
    </row>
    <row r="96" spans="2:13" ht="18" customHeight="1" x14ac:dyDescent="0.35">
      <c r="B96" s="52"/>
      <c r="C96" s="27"/>
      <c r="D96" s="57"/>
      <c r="E96" s="27"/>
      <c r="F96" s="57"/>
      <c r="G96" s="40"/>
      <c r="H96" s="37"/>
      <c r="I96" s="43"/>
      <c r="J96" s="43"/>
      <c r="K96" s="43"/>
      <c r="L96" s="36"/>
      <c r="M96" s="24"/>
    </row>
    <row r="97" spans="2:13" ht="18" customHeight="1" x14ac:dyDescent="0.45">
      <c r="B97" s="52">
        <v>6</v>
      </c>
      <c r="C97" s="62" t="s">
        <v>540</v>
      </c>
      <c r="D97" s="57"/>
      <c r="E97" s="57"/>
      <c r="F97" s="57"/>
      <c r="G97" s="40"/>
      <c r="H97" s="37"/>
      <c r="I97" s="43"/>
      <c r="J97" s="43"/>
      <c r="K97" s="43"/>
      <c r="L97" s="36"/>
      <c r="M97" s="24"/>
    </row>
    <row r="98" spans="2:13" ht="18" customHeight="1" x14ac:dyDescent="0.35">
      <c r="B98" s="52">
        <v>6.1</v>
      </c>
      <c r="C98" s="27" t="s">
        <v>169</v>
      </c>
      <c r="D98" s="27" t="s">
        <v>399</v>
      </c>
      <c r="E98" s="27" t="s">
        <v>560</v>
      </c>
      <c r="F98" s="27" t="s">
        <v>400</v>
      </c>
      <c r="G98" s="40">
        <v>0.98</v>
      </c>
      <c r="H98" s="37">
        <v>8000</v>
      </c>
      <c r="I98" s="43">
        <v>45765</v>
      </c>
      <c r="J98" s="43">
        <v>45772</v>
      </c>
      <c r="K98" s="43">
        <v>45772</v>
      </c>
      <c r="L98" s="27" t="s">
        <v>415</v>
      </c>
      <c r="M98" s="24"/>
    </row>
    <row r="99" spans="2:13" ht="18" customHeight="1" x14ac:dyDescent="0.35">
      <c r="B99" s="52" t="s">
        <v>160</v>
      </c>
      <c r="C99" s="27" t="s">
        <v>170</v>
      </c>
      <c r="D99" s="57">
        <v>6.1</v>
      </c>
      <c r="E99" s="27" t="s">
        <v>560</v>
      </c>
      <c r="F99" s="45" t="s">
        <v>401</v>
      </c>
      <c r="G99" s="40">
        <v>0.96</v>
      </c>
      <c r="H99" s="37">
        <v>2500</v>
      </c>
      <c r="I99" s="43">
        <v>45766</v>
      </c>
      <c r="J99" s="43">
        <v>45770</v>
      </c>
      <c r="K99" s="43">
        <v>45770</v>
      </c>
      <c r="L99" s="27" t="s">
        <v>416</v>
      </c>
      <c r="M99" s="24"/>
    </row>
    <row r="100" spans="2:13" ht="18" customHeight="1" x14ac:dyDescent="0.35">
      <c r="B100" s="52" t="s">
        <v>161</v>
      </c>
      <c r="C100" s="27" t="s">
        <v>171</v>
      </c>
      <c r="D100" s="57">
        <v>6.1</v>
      </c>
      <c r="E100" s="27" t="s">
        <v>560</v>
      </c>
      <c r="F100" s="27" t="s">
        <v>402</v>
      </c>
      <c r="G100" s="40">
        <v>0.93</v>
      </c>
      <c r="H100" s="37">
        <v>1800</v>
      </c>
      <c r="I100" s="43">
        <v>45765</v>
      </c>
      <c r="J100" s="43">
        <v>45771</v>
      </c>
      <c r="K100" s="43">
        <v>45771</v>
      </c>
      <c r="L100" s="27" t="s">
        <v>417</v>
      </c>
      <c r="M100" s="24"/>
    </row>
    <row r="101" spans="2:13" ht="18" customHeight="1" x14ac:dyDescent="0.35">
      <c r="B101" s="52">
        <v>6.2</v>
      </c>
      <c r="C101" s="27" t="s">
        <v>172</v>
      </c>
      <c r="D101" s="57" t="s">
        <v>161</v>
      </c>
      <c r="E101" s="27" t="s">
        <v>560</v>
      </c>
      <c r="F101" s="27" t="s">
        <v>403</v>
      </c>
      <c r="G101" s="40">
        <v>0.2</v>
      </c>
      <c r="H101" s="37">
        <v>500</v>
      </c>
      <c r="I101" s="43">
        <v>45772</v>
      </c>
      <c r="J101" s="43">
        <v>45774</v>
      </c>
      <c r="K101" s="43"/>
      <c r="L101" s="27" t="s">
        <v>418</v>
      </c>
      <c r="M101" s="24"/>
    </row>
    <row r="102" spans="2:13" ht="18" customHeight="1" x14ac:dyDescent="0.35">
      <c r="B102" s="52" t="s">
        <v>546</v>
      </c>
      <c r="C102" s="27" t="s">
        <v>173</v>
      </c>
      <c r="D102" s="57">
        <v>6.2</v>
      </c>
      <c r="E102" s="27" t="s">
        <v>560</v>
      </c>
      <c r="F102" s="27" t="s">
        <v>404</v>
      </c>
      <c r="G102" s="40">
        <v>0.3</v>
      </c>
      <c r="H102" s="24">
        <v>0</v>
      </c>
      <c r="I102" s="43">
        <v>45772</v>
      </c>
      <c r="J102" s="43">
        <v>45773</v>
      </c>
      <c r="K102" s="43"/>
      <c r="L102" s="27" t="s">
        <v>92</v>
      </c>
      <c r="M102" s="24"/>
    </row>
    <row r="103" spans="2:13" ht="18" customHeight="1" x14ac:dyDescent="0.35">
      <c r="B103" s="52" t="s">
        <v>162</v>
      </c>
      <c r="C103" s="27" t="s">
        <v>174</v>
      </c>
      <c r="D103" s="57">
        <v>6.2</v>
      </c>
      <c r="E103" s="27" t="s">
        <v>560</v>
      </c>
      <c r="F103" s="45" t="s">
        <v>405</v>
      </c>
      <c r="G103" s="40">
        <v>0</v>
      </c>
      <c r="H103" s="24">
        <v>0</v>
      </c>
      <c r="I103" s="43">
        <v>45773</v>
      </c>
      <c r="J103" s="43">
        <v>45774</v>
      </c>
      <c r="K103" s="43"/>
      <c r="L103" s="27" t="s">
        <v>419</v>
      </c>
      <c r="M103" s="24"/>
    </row>
    <row r="104" spans="2:13" ht="18" customHeight="1" x14ac:dyDescent="0.35">
      <c r="B104" s="52">
        <v>6.3</v>
      </c>
      <c r="C104" s="27" t="s">
        <v>175</v>
      </c>
      <c r="D104" s="57">
        <v>6.2</v>
      </c>
      <c r="E104" s="27" t="s">
        <v>560</v>
      </c>
      <c r="F104" s="27" t="s">
        <v>406</v>
      </c>
      <c r="G104" s="40">
        <v>0</v>
      </c>
      <c r="H104" s="37">
        <v>4000</v>
      </c>
      <c r="I104" s="43">
        <v>45775</v>
      </c>
      <c r="J104" s="43">
        <v>45779</v>
      </c>
      <c r="K104" s="43"/>
      <c r="L104" s="27" t="s">
        <v>420</v>
      </c>
      <c r="M104" s="24"/>
    </row>
    <row r="105" spans="2:13" ht="18" customHeight="1" x14ac:dyDescent="0.35">
      <c r="B105" s="52" t="s">
        <v>163</v>
      </c>
      <c r="C105" s="27" t="s">
        <v>176</v>
      </c>
      <c r="D105" s="57">
        <v>6.3</v>
      </c>
      <c r="E105" s="27" t="s">
        <v>560</v>
      </c>
      <c r="F105" s="27" t="s">
        <v>407</v>
      </c>
      <c r="G105" s="40">
        <v>0</v>
      </c>
      <c r="H105" s="37">
        <v>2500</v>
      </c>
      <c r="I105" s="43">
        <v>45775</v>
      </c>
      <c r="J105" s="43">
        <v>45777</v>
      </c>
      <c r="K105" s="43"/>
      <c r="L105" s="27" t="s">
        <v>421</v>
      </c>
      <c r="M105" s="24"/>
    </row>
    <row r="106" spans="2:13" ht="18" customHeight="1" x14ac:dyDescent="0.35">
      <c r="B106" s="52" t="s">
        <v>164</v>
      </c>
      <c r="C106" s="27" t="s">
        <v>177</v>
      </c>
      <c r="D106" s="57">
        <v>6.3</v>
      </c>
      <c r="E106" s="27" t="s">
        <v>560</v>
      </c>
      <c r="F106" s="27" t="s">
        <v>408</v>
      </c>
      <c r="G106" s="40">
        <v>0</v>
      </c>
      <c r="H106" s="37">
        <v>1500</v>
      </c>
      <c r="I106" s="43">
        <v>45776</v>
      </c>
      <c r="J106" s="43">
        <v>45779</v>
      </c>
      <c r="K106" s="43"/>
      <c r="L106" s="27" t="s">
        <v>422</v>
      </c>
      <c r="M106" s="24"/>
    </row>
    <row r="107" spans="2:13" ht="18" customHeight="1" x14ac:dyDescent="0.35">
      <c r="B107" s="52">
        <v>6.4</v>
      </c>
      <c r="C107" s="27" t="s">
        <v>178</v>
      </c>
      <c r="D107" s="27" t="s">
        <v>164</v>
      </c>
      <c r="E107" s="27" t="s">
        <v>560</v>
      </c>
      <c r="F107" s="27" t="s">
        <v>409</v>
      </c>
      <c r="G107" s="40">
        <v>0</v>
      </c>
      <c r="H107" s="37">
        <v>3000</v>
      </c>
      <c r="I107" s="43">
        <v>45778</v>
      </c>
      <c r="J107" s="43">
        <v>45782</v>
      </c>
      <c r="K107" s="43"/>
      <c r="L107" s="27" t="s">
        <v>416</v>
      </c>
      <c r="M107" s="24"/>
    </row>
    <row r="108" spans="2:13" ht="18" customHeight="1" x14ac:dyDescent="0.35">
      <c r="B108" s="52" t="s">
        <v>165</v>
      </c>
      <c r="C108" s="27" t="s">
        <v>179</v>
      </c>
      <c r="D108" s="57" t="s">
        <v>160</v>
      </c>
      <c r="E108" s="27" t="s">
        <v>560</v>
      </c>
      <c r="F108" s="27" t="s">
        <v>410</v>
      </c>
      <c r="G108" s="40">
        <v>0.99</v>
      </c>
      <c r="H108" s="37">
        <v>1000</v>
      </c>
      <c r="I108" s="43">
        <v>45767</v>
      </c>
      <c r="J108" s="43">
        <v>45770</v>
      </c>
      <c r="K108" s="43">
        <v>45770</v>
      </c>
      <c r="L108" s="27" t="s">
        <v>423</v>
      </c>
      <c r="M108" s="24"/>
    </row>
    <row r="109" spans="2:13" ht="18" customHeight="1" x14ac:dyDescent="0.35">
      <c r="B109" s="52" t="s">
        <v>166</v>
      </c>
      <c r="C109" s="27" t="s">
        <v>180</v>
      </c>
      <c r="D109" s="57">
        <v>6.4</v>
      </c>
      <c r="E109" s="27" t="s">
        <v>560</v>
      </c>
      <c r="F109" s="27" t="s">
        <v>411</v>
      </c>
      <c r="G109" s="40">
        <v>0</v>
      </c>
      <c r="H109" s="37">
        <v>2000</v>
      </c>
      <c r="I109" s="43">
        <v>45778</v>
      </c>
      <c r="J109" s="43">
        <v>45782</v>
      </c>
      <c r="K109" s="43"/>
      <c r="L109" s="27" t="s">
        <v>424</v>
      </c>
      <c r="M109" s="24"/>
    </row>
    <row r="110" spans="2:13" ht="18" customHeight="1" x14ac:dyDescent="0.35">
      <c r="B110" s="52">
        <v>6.5</v>
      </c>
      <c r="C110" s="27" t="s">
        <v>181</v>
      </c>
      <c r="D110" s="57">
        <v>6.1</v>
      </c>
      <c r="E110" s="27" t="s">
        <v>560</v>
      </c>
      <c r="F110" s="27" t="s">
        <v>412</v>
      </c>
      <c r="G110" s="40">
        <v>0</v>
      </c>
      <c r="H110" s="24">
        <v>0</v>
      </c>
      <c r="I110" s="43">
        <v>45780</v>
      </c>
      <c r="J110" s="43">
        <v>45781</v>
      </c>
      <c r="K110" s="43"/>
      <c r="L110" s="27" t="s">
        <v>425</v>
      </c>
      <c r="M110" s="24"/>
    </row>
    <row r="111" spans="2:13" ht="18" customHeight="1" x14ac:dyDescent="0.35">
      <c r="B111" s="52" t="s">
        <v>167</v>
      </c>
      <c r="C111" s="27" t="s">
        <v>182</v>
      </c>
      <c r="D111" s="57">
        <v>6.5</v>
      </c>
      <c r="E111" s="27" t="s">
        <v>560</v>
      </c>
      <c r="F111" s="27" t="s">
        <v>413</v>
      </c>
      <c r="G111" s="40">
        <v>0</v>
      </c>
      <c r="H111" s="24">
        <v>0</v>
      </c>
      <c r="I111" s="43">
        <v>45780</v>
      </c>
      <c r="J111" s="43">
        <v>45780</v>
      </c>
      <c r="K111" s="43"/>
      <c r="L111" s="27" t="s">
        <v>426</v>
      </c>
      <c r="M111" s="24"/>
    </row>
    <row r="112" spans="2:13" ht="18" customHeight="1" x14ac:dyDescent="0.35">
      <c r="B112" s="52" t="s">
        <v>168</v>
      </c>
      <c r="C112" s="27" t="s">
        <v>183</v>
      </c>
      <c r="D112" s="57">
        <v>6.5</v>
      </c>
      <c r="E112" s="27" t="s">
        <v>560</v>
      </c>
      <c r="F112" s="27" t="s">
        <v>414</v>
      </c>
      <c r="G112" s="40">
        <v>0</v>
      </c>
      <c r="H112" s="24">
        <v>0</v>
      </c>
      <c r="I112" s="43">
        <v>45780</v>
      </c>
      <c r="J112" s="43">
        <v>45781</v>
      </c>
      <c r="K112" s="43"/>
      <c r="L112" s="27" t="s">
        <v>427</v>
      </c>
      <c r="M112" s="24"/>
    </row>
    <row r="113" spans="2:13" ht="18" customHeight="1" x14ac:dyDescent="0.35">
      <c r="B113" s="52"/>
      <c r="C113" s="27"/>
      <c r="D113" s="57"/>
      <c r="E113" s="57"/>
      <c r="F113" s="57"/>
      <c r="G113" s="40"/>
      <c r="H113" s="37"/>
      <c r="I113" s="43"/>
      <c r="J113" s="43"/>
      <c r="K113" s="43"/>
      <c r="L113" s="36"/>
      <c r="M113" s="24"/>
    </row>
    <row r="114" spans="2:13" ht="18" customHeight="1" x14ac:dyDescent="0.45">
      <c r="B114" s="52">
        <v>7</v>
      </c>
      <c r="C114" s="62" t="s">
        <v>541</v>
      </c>
      <c r="D114" s="57"/>
      <c r="E114" s="57"/>
      <c r="F114" s="57"/>
      <c r="G114" s="40"/>
      <c r="H114" s="37"/>
      <c r="I114" s="43"/>
      <c r="J114" s="43"/>
      <c r="K114" s="43"/>
      <c r="L114" s="36"/>
      <c r="M114" s="24"/>
    </row>
    <row r="115" spans="2:13" ht="18" customHeight="1" x14ac:dyDescent="0.35">
      <c r="B115" s="52">
        <v>7.1</v>
      </c>
      <c r="C115" s="27" t="s">
        <v>194</v>
      </c>
      <c r="D115" s="57" t="s">
        <v>168</v>
      </c>
      <c r="E115" s="27" t="s">
        <v>561</v>
      </c>
      <c r="F115" s="27" t="s">
        <v>429</v>
      </c>
      <c r="G115" s="40">
        <v>0</v>
      </c>
      <c r="H115" s="37">
        <v>2000</v>
      </c>
      <c r="I115" s="43">
        <v>45782</v>
      </c>
      <c r="J115" s="43">
        <v>45786</v>
      </c>
      <c r="K115" s="43"/>
      <c r="L115" s="27" t="s">
        <v>443</v>
      </c>
      <c r="M115" s="24"/>
    </row>
    <row r="116" spans="2:13" ht="18" customHeight="1" x14ac:dyDescent="0.35">
      <c r="B116" s="52" t="s">
        <v>184</v>
      </c>
      <c r="C116" s="27" t="s">
        <v>195</v>
      </c>
      <c r="D116" s="57">
        <v>7.1</v>
      </c>
      <c r="E116" s="27" t="s">
        <v>561</v>
      </c>
      <c r="F116" s="27" t="s">
        <v>430</v>
      </c>
      <c r="G116" s="40">
        <v>0</v>
      </c>
      <c r="H116" s="37">
        <v>500</v>
      </c>
      <c r="I116" s="43">
        <v>45782</v>
      </c>
      <c r="J116" s="43">
        <v>45783</v>
      </c>
      <c r="K116" s="43"/>
      <c r="L116" s="27" t="s">
        <v>444</v>
      </c>
      <c r="M116" s="24"/>
    </row>
    <row r="117" spans="2:13" ht="18" customHeight="1" x14ac:dyDescent="0.35">
      <c r="B117" s="52" t="s">
        <v>185</v>
      </c>
      <c r="C117" s="27" t="s">
        <v>196</v>
      </c>
      <c r="D117" s="57">
        <v>7.1</v>
      </c>
      <c r="E117" s="27" t="s">
        <v>561</v>
      </c>
      <c r="F117" s="27" t="s">
        <v>431</v>
      </c>
      <c r="G117" s="40">
        <v>0</v>
      </c>
      <c r="H117" s="37">
        <v>500</v>
      </c>
      <c r="I117" s="43">
        <v>45783</v>
      </c>
      <c r="J117" s="43">
        <v>45786</v>
      </c>
      <c r="K117" s="43"/>
      <c r="L117" s="27" t="s">
        <v>445</v>
      </c>
      <c r="M117" s="24"/>
    </row>
    <row r="118" spans="2:13" ht="18" customHeight="1" x14ac:dyDescent="0.35">
      <c r="B118" s="52">
        <v>7.2</v>
      </c>
      <c r="C118" s="27" t="s">
        <v>197</v>
      </c>
      <c r="D118" s="57" t="s">
        <v>185</v>
      </c>
      <c r="E118" s="27" t="s">
        <v>562</v>
      </c>
      <c r="F118" s="27" t="s">
        <v>432</v>
      </c>
      <c r="G118" s="40">
        <v>0</v>
      </c>
      <c r="H118" s="37">
        <v>1000</v>
      </c>
      <c r="I118" s="43">
        <v>45787</v>
      </c>
      <c r="J118" s="43">
        <v>45794</v>
      </c>
      <c r="K118" s="43"/>
      <c r="L118" s="27" t="s">
        <v>446</v>
      </c>
      <c r="M118" s="24"/>
    </row>
    <row r="119" spans="2:13" ht="18" customHeight="1" x14ac:dyDescent="0.35">
      <c r="B119" s="52" t="s">
        <v>186</v>
      </c>
      <c r="C119" s="27" t="s">
        <v>198</v>
      </c>
      <c r="D119" s="57">
        <v>7.2</v>
      </c>
      <c r="E119" s="27" t="s">
        <v>562</v>
      </c>
      <c r="F119" s="27" t="s">
        <v>433</v>
      </c>
      <c r="G119" s="40">
        <v>0</v>
      </c>
      <c r="H119" s="37">
        <v>200</v>
      </c>
      <c r="I119" s="43">
        <v>45787</v>
      </c>
      <c r="J119" s="43">
        <v>45788</v>
      </c>
      <c r="K119" s="43"/>
      <c r="L119" s="27" t="s">
        <v>447</v>
      </c>
      <c r="M119" s="24"/>
    </row>
    <row r="120" spans="2:13" ht="18" customHeight="1" x14ac:dyDescent="0.35">
      <c r="B120" s="52" t="s">
        <v>187</v>
      </c>
      <c r="C120" s="27" t="s">
        <v>199</v>
      </c>
      <c r="D120" s="57">
        <v>7.2</v>
      </c>
      <c r="E120" s="27" t="s">
        <v>562</v>
      </c>
      <c r="F120" s="27" t="s">
        <v>434</v>
      </c>
      <c r="G120" s="40">
        <v>0</v>
      </c>
      <c r="H120" s="37">
        <v>800</v>
      </c>
      <c r="I120" s="43">
        <v>45788</v>
      </c>
      <c r="J120" s="43">
        <v>45794</v>
      </c>
      <c r="K120" s="43"/>
      <c r="L120" s="27" t="s">
        <v>448</v>
      </c>
      <c r="M120" s="24"/>
    </row>
    <row r="121" spans="2:13" ht="18" customHeight="1" x14ac:dyDescent="0.35">
      <c r="B121" s="52">
        <v>7.3</v>
      </c>
      <c r="C121" s="27" t="s">
        <v>200</v>
      </c>
      <c r="D121" s="57" t="s">
        <v>187</v>
      </c>
      <c r="E121" s="27" t="s">
        <v>561</v>
      </c>
      <c r="F121" s="27" t="s">
        <v>435</v>
      </c>
      <c r="G121" s="40">
        <v>0</v>
      </c>
      <c r="H121" s="37">
        <v>1500</v>
      </c>
      <c r="I121" s="43">
        <v>45787</v>
      </c>
      <c r="J121" s="43">
        <v>45797</v>
      </c>
      <c r="K121" s="43"/>
      <c r="L121" s="27" t="s">
        <v>449</v>
      </c>
      <c r="M121" s="24"/>
    </row>
    <row r="122" spans="2:13" ht="18" customHeight="1" x14ac:dyDescent="0.35">
      <c r="B122" s="52" t="s">
        <v>188</v>
      </c>
      <c r="C122" s="27" t="s">
        <v>201</v>
      </c>
      <c r="D122" s="57">
        <v>7.3</v>
      </c>
      <c r="E122" s="27" t="s">
        <v>561</v>
      </c>
      <c r="F122" s="27" t="s">
        <v>435</v>
      </c>
      <c r="G122" s="40">
        <v>0</v>
      </c>
      <c r="H122" s="37">
        <v>700</v>
      </c>
      <c r="I122" s="43">
        <v>45787</v>
      </c>
      <c r="J122" s="43">
        <v>45792</v>
      </c>
      <c r="K122" s="43"/>
      <c r="L122" s="45" t="s">
        <v>450</v>
      </c>
      <c r="M122" s="24"/>
    </row>
    <row r="123" spans="2:13" ht="18" customHeight="1" x14ac:dyDescent="0.35">
      <c r="B123" s="52" t="s">
        <v>189</v>
      </c>
      <c r="C123" s="27" t="s">
        <v>202</v>
      </c>
      <c r="D123" s="57">
        <v>7.3</v>
      </c>
      <c r="E123" s="27" t="s">
        <v>561</v>
      </c>
      <c r="F123" s="27" t="s">
        <v>436</v>
      </c>
      <c r="G123" s="40">
        <v>0</v>
      </c>
      <c r="H123" s="37">
        <v>800</v>
      </c>
      <c r="I123" s="43">
        <v>45788</v>
      </c>
      <c r="J123" s="43">
        <v>45797</v>
      </c>
      <c r="K123" s="43"/>
      <c r="L123" s="27" t="s">
        <v>451</v>
      </c>
      <c r="M123" s="24"/>
    </row>
    <row r="124" spans="2:13" ht="18" customHeight="1" x14ac:dyDescent="0.35">
      <c r="B124" s="52">
        <v>7.4</v>
      </c>
      <c r="C124" s="27" t="s">
        <v>203</v>
      </c>
      <c r="D124" s="57" t="s">
        <v>164</v>
      </c>
      <c r="E124" s="27" t="s">
        <v>562</v>
      </c>
      <c r="F124" s="27" t="s">
        <v>437</v>
      </c>
      <c r="G124" s="40">
        <v>0</v>
      </c>
      <c r="H124" s="37">
        <v>3000</v>
      </c>
      <c r="I124" s="43">
        <v>45778</v>
      </c>
      <c r="J124" s="43">
        <v>45797</v>
      </c>
      <c r="K124" s="43"/>
      <c r="L124" s="27" t="s">
        <v>452</v>
      </c>
      <c r="M124" s="24"/>
    </row>
    <row r="125" spans="2:13" ht="18" customHeight="1" x14ac:dyDescent="0.35">
      <c r="B125" s="52" t="s">
        <v>190</v>
      </c>
      <c r="C125" s="27" t="s">
        <v>204</v>
      </c>
      <c r="D125" s="57">
        <v>7.4</v>
      </c>
      <c r="E125" s="27" t="s">
        <v>562</v>
      </c>
      <c r="F125" s="27" t="s">
        <v>438</v>
      </c>
      <c r="G125" s="40">
        <v>0</v>
      </c>
      <c r="H125" s="37">
        <v>1000</v>
      </c>
      <c r="I125" s="43">
        <v>45778</v>
      </c>
      <c r="J125" s="43">
        <v>45781</v>
      </c>
      <c r="K125" s="43"/>
      <c r="L125" s="27" t="s">
        <v>453</v>
      </c>
      <c r="M125" s="24"/>
    </row>
    <row r="126" spans="2:13" ht="18" customHeight="1" x14ac:dyDescent="0.35">
      <c r="B126" s="52" t="s">
        <v>191</v>
      </c>
      <c r="C126" s="27" t="s">
        <v>205</v>
      </c>
      <c r="D126" s="57" t="s">
        <v>428</v>
      </c>
      <c r="E126" s="27" t="s">
        <v>562</v>
      </c>
      <c r="F126" s="27" t="s">
        <v>439</v>
      </c>
      <c r="G126" s="40">
        <v>0</v>
      </c>
      <c r="H126" s="37">
        <v>2000</v>
      </c>
      <c r="I126" s="43">
        <v>45780</v>
      </c>
      <c r="J126" s="43">
        <v>45797</v>
      </c>
      <c r="K126" s="43"/>
      <c r="L126" s="27" t="s">
        <v>454</v>
      </c>
      <c r="M126" s="24"/>
    </row>
    <row r="127" spans="2:13" ht="18" customHeight="1" x14ac:dyDescent="0.35">
      <c r="B127" s="52">
        <v>7.5</v>
      </c>
      <c r="C127" s="27" t="s">
        <v>206</v>
      </c>
      <c r="D127" s="57" t="s">
        <v>189</v>
      </c>
      <c r="E127" s="27" t="s">
        <v>562</v>
      </c>
      <c r="F127" s="27" t="s">
        <v>440</v>
      </c>
      <c r="G127" s="40">
        <v>0</v>
      </c>
      <c r="H127" s="37">
        <v>500</v>
      </c>
      <c r="I127" s="43">
        <v>45797</v>
      </c>
      <c r="J127" s="43">
        <v>45799</v>
      </c>
      <c r="K127" s="43"/>
      <c r="L127" s="27" t="s">
        <v>455</v>
      </c>
      <c r="M127" s="24"/>
    </row>
    <row r="128" spans="2:13" ht="18" customHeight="1" x14ac:dyDescent="0.35">
      <c r="B128" s="52" t="s">
        <v>192</v>
      </c>
      <c r="C128" s="27" t="s">
        <v>207</v>
      </c>
      <c r="D128" s="57">
        <v>7.5</v>
      </c>
      <c r="E128" s="27" t="s">
        <v>562</v>
      </c>
      <c r="F128" s="45" t="s">
        <v>441</v>
      </c>
      <c r="G128" s="40">
        <v>0</v>
      </c>
      <c r="H128" s="37">
        <v>250</v>
      </c>
      <c r="I128" s="43">
        <v>45797</v>
      </c>
      <c r="J128" s="43">
        <v>45798</v>
      </c>
      <c r="K128" s="43"/>
      <c r="L128" s="27" t="s">
        <v>456</v>
      </c>
      <c r="M128" s="24"/>
    </row>
    <row r="129" spans="2:13" ht="18" customHeight="1" x14ac:dyDescent="0.35">
      <c r="B129" s="52" t="s">
        <v>193</v>
      </c>
      <c r="C129" s="27" t="s">
        <v>208</v>
      </c>
      <c r="D129" s="57">
        <v>7.5</v>
      </c>
      <c r="E129" s="27" t="s">
        <v>562</v>
      </c>
      <c r="F129" s="27" t="s">
        <v>442</v>
      </c>
      <c r="G129" s="40">
        <v>0</v>
      </c>
      <c r="H129" s="37">
        <v>250</v>
      </c>
      <c r="I129" s="43">
        <v>45798</v>
      </c>
      <c r="J129" s="43">
        <v>45799</v>
      </c>
      <c r="K129" s="43"/>
      <c r="L129" s="27" t="s">
        <v>457</v>
      </c>
      <c r="M129" s="24"/>
    </row>
    <row r="130" spans="2:13" ht="18" customHeight="1" x14ac:dyDescent="0.35">
      <c r="B130" s="52"/>
      <c r="C130" s="27"/>
      <c r="D130" s="57"/>
      <c r="E130" s="57"/>
      <c r="F130" s="57"/>
      <c r="G130" s="40"/>
      <c r="H130" s="37"/>
      <c r="I130" s="43"/>
      <c r="J130" s="43"/>
      <c r="K130" s="43"/>
      <c r="L130" s="36"/>
      <c r="M130" s="24"/>
    </row>
    <row r="131" spans="2:13" ht="18" customHeight="1" x14ac:dyDescent="0.45">
      <c r="B131" s="52">
        <v>8</v>
      </c>
      <c r="C131" s="62" t="s">
        <v>542</v>
      </c>
      <c r="D131" s="57"/>
      <c r="E131" s="57"/>
      <c r="F131" s="57"/>
      <c r="G131" s="40"/>
      <c r="H131" s="37"/>
      <c r="I131" s="43"/>
      <c r="J131" s="43"/>
      <c r="K131" s="43"/>
      <c r="L131" s="36"/>
      <c r="M131" s="24"/>
    </row>
    <row r="132" spans="2:13" ht="18" customHeight="1" x14ac:dyDescent="0.35">
      <c r="B132" s="52">
        <v>8.1</v>
      </c>
      <c r="C132" s="51" t="s">
        <v>217</v>
      </c>
      <c r="D132" s="27" t="s">
        <v>458</v>
      </c>
      <c r="E132" s="27" t="s">
        <v>563</v>
      </c>
      <c r="F132" s="27" t="s">
        <v>460</v>
      </c>
      <c r="G132" s="40">
        <v>0</v>
      </c>
      <c r="H132" s="37">
        <v>1500</v>
      </c>
      <c r="I132" s="43">
        <v>45805</v>
      </c>
      <c r="J132" s="43">
        <v>45807</v>
      </c>
      <c r="K132" s="43"/>
      <c r="L132" s="27" t="s">
        <v>472</v>
      </c>
      <c r="M132" s="24"/>
    </row>
    <row r="133" spans="2:13" ht="18" customHeight="1" x14ac:dyDescent="0.35">
      <c r="B133" s="52" t="s">
        <v>209</v>
      </c>
      <c r="C133" s="27" t="s">
        <v>218</v>
      </c>
      <c r="D133" s="57">
        <v>8.1</v>
      </c>
      <c r="E133" s="27" t="s">
        <v>563</v>
      </c>
      <c r="F133" s="27" t="s">
        <v>461</v>
      </c>
      <c r="G133" s="40">
        <v>0</v>
      </c>
      <c r="H133" s="37">
        <v>500</v>
      </c>
      <c r="I133" s="43">
        <v>45805</v>
      </c>
      <c r="J133" s="43">
        <v>45806</v>
      </c>
      <c r="K133" s="43"/>
      <c r="L133" s="27" t="s">
        <v>473</v>
      </c>
      <c r="M133" s="24"/>
    </row>
    <row r="134" spans="2:13" ht="18" customHeight="1" x14ac:dyDescent="0.35">
      <c r="B134" s="52" t="s">
        <v>210</v>
      </c>
      <c r="C134" s="27" t="s">
        <v>219</v>
      </c>
      <c r="D134" s="57">
        <v>8.1</v>
      </c>
      <c r="E134" s="27" t="s">
        <v>563</v>
      </c>
      <c r="F134" s="27" t="s">
        <v>462</v>
      </c>
      <c r="G134" s="40">
        <v>0</v>
      </c>
      <c r="H134" s="37">
        <v>300</v>
      </c>
      <c r="I134" s="43">
        <v>45806</v>
      </c>
      <c r="J134" s="43">
        <v>45807</v>
      </c>
      <c r="K134" s="43"/>
      <c r="L134" s="27" t="s">
        <v>474</v>
      </c>
      <c r="M134" s="24"/>
    </row>
    <row r="135" spans="2:13" ht="18" customHeight="1" x14ac:dyDescent="0.35">
      <c r="B135" s="52">
        <v>8.1999999999999993</v>
      </c>
      <c r="C135" s="27" t="s">
        <v>220</v>
      </c>
      <c r="D135" s="57" t="s">
        <v>210</v>
      </c>
      <c r="E135" s="27" t="s">
        <v>563</v>
      </c>
      <c r="F135" s="27" t="s">
        <v>463</v>
      </c>
      <c r="G135" s="40">
        <v>0</v>
      </c>
      <c r="H135" s="37">
        <v>2000</v>
      </c>
      <c r="I135" s="43">
        <v>45808</v>
      </c>
      <c r="J135" s="43">
        <v>45809</v>
      </c>
      <c r="K135" s="43"/>
      <c r="L135" s="27" t="s">
        <v>475</v>
      </c>
      <c r="M135" s="24"/>
    </row>
    <row r="136" spans="2:13" ht="18" customHeight="1" x14ac:dyDescent="0.35">
      <c r="B136" s="52" t="s">
        <v>211</v>
      </c>
      <c r="C136" s="27" t="s">
        <v>221</v>
      </c>
      <c r="D136" s="57" t="s">
        <v>459</v>
      </c>
      <c r="E136" s="27" t="s">
        <v>563</v>
      </c>
      <c r="F136" s="27" t="s">
        <v>464</v>
      </c>
      <c r="G136" s="40">
        <v>0</v>
      </c>
      <c r="H136" s="37">
        <v>1200</v>
      </c>
      <c r="I136" s="43">
        <v>45808</v>
      </c>
      <c r="J136" s="43">
        <v>45808</v>
      </c>
      <c r="K136" s="43"/>
      <c r="L136" s="27" t="s">
        <v>476</v>
      </c>
      <c r="M136" s="24"/>
    </row>
    <row r="137" spans="2:13" ht="18" customHeight="1" x14ac:dyDescent="0.35">
      <c r="B137" s="52" t="s">
        <v>212</v>
      </c>
      <c r="C137" s="27" t="s">
        <v>222</v>
      </c>
      <c r="D137" s="57">
        <v>8.1999999999999993</v>
      </c>
      <c r="E137" s="27" t="s">
        <v>563</v>
      </c>
      <c r="F137" s="27" t="s">
        <v>465</v>
      </c>
      <c r="G137" s="40">
        <v>0</v>
      </c>
      <c r="H137" s="37">
        <v>800</v>
      </c>
      <c r="I137" s="43">
        <v>45809</v>
      </c>
      <c r="J137" s="43">
        <v>45809</v>
      </c>
      <c r="K137" s="43"/>
      <c r="L137" s="27" t="s">
        <v>477</v>
      </c>
      <c r="M137" s="24"/>
    </row>
    <row r="138" spans="2:13" ht="18" customHeight="1" x14ac:dyDescent="0.35">
      <c r="B138" s="52">
        <v>8.3000000000000007</v>
      </c>
      <c r="C138" s="27" t="s">
        <v>223</v>
      </c>
      <c r="D138" s="57" t="s">
        <v>212</v>
      </c>
      <c r="E138" s="27" t="s">
        <v>563</v>
      </c>
      <c r="F138" s="27" t="s">
        <v>466</v>
      </c>
      <c r="G138" s="40">
        <v>0</v>
      </c>
      <c r="H138" s="37">
        <v>1800</v>
      </c>
      <c r="I138" s="43">
        <v>45810</v>
      </c>
      <c r="J138" s="43">
        <v>45812</v>
      </c>
      <c r="K138" s="43"/>
      <c r="L138" s="27" t="s">
        <v>478</v>
      </c>
      <c r="M138" s="24"/>
    </row>
    <row r="139" spans="2:13" ht="18" customHeight="1" x14ac:dyDescent="0.35">
      <c r="B139" s="52" t="s">
        <v>213</v>
      </c>
      <c r="C139" s="27" t="s">
        <v>224</v>
      </c>
      <c r="D139" s="57">
        <v>8.3000000000000007</v>
      </c>
      <c r="E139" s="27" t="s">
        <v>563</v>
      </c>
      <c r="F139" s="27" t="s">
        <v>467</v>
      </c>
      <c r="G139" s="40">
        <v>0</v>
      </c>
      <c r="H139" s="37">
        <v>1500</v>
      </c>
      <c r="I139" s="43">
        <v>45810</v>
      </c>
      <c r="J139" s="43">
        <v>45811</v>
      </c>
      <c r="K139" s="43"/>
      <c r="L139" s="27" t="s">
        <v>479</v>
      </c>
      <c r="M139" s="24"/>
    </row>
    <row r="140" spans="2:13" ht="18" customHeight="1" x14ac:dyDescent="0.35">
      <c r="B140" s="52" t="s">
        <v>214</v>
      </c>
      <c r="C140" s="27" t="s">
        <v>225</v>
      </c>
      <c r="D140" s="57">
        <v>8.3000000000000007</v>
      </c>
      <c r="E140" s="27" t="s">
        <v>563</v>
      </c>
      <c r="F140" s="27" t="s">
        <v>468</v>
      </c>
      <c r="G140" s="40">
        <v>0</v>
      </c>
      <c r="H140" s="37">
        <v>300</v>
      </c>
      <c r="I140" s="43">
        <v>45812</v>
      </c>
      <c r="J140" s="43">
        <v>45812</v>
      </c>
      <c r="K140" s="43"/>
      <c r="L140" s="27" t="s">
        <v>480</v>
      </c>
      <c r="M140" s="24"/>
    </row>
    <row r="141" spans="2:13" ht="18" customHeight="1" x14ac:dyDescent="0.35">
      <c r="B141" s="52">
        <v>8.4</v>
      </c>
      <c r="C141" s="27" t="s">
        <v>226</v>
      </c>
      <c r="D141" s="57" t="s">
        <v>214</v>
      </c>
      <c r="E141" s="27" t="s">
        <v>549</v>
      </c>
      <c r="F141" s="27" t="s">
        <v>469</v>
      </c>
      <c r="G141" s="40">
        <v>0</v>
      </c>
      <c r="H141" s="37">
        <v>500</v>
      </c>
      <c r="I141" s="43">
        <v>45813</v>
      </c>
      <c r="J141" s="43">
        <v>45814</v>
      </c>
      <c r="K141" s="43"/>
      <c r="L141" s="27" t="s">
        <v>481</v>
      </c>
      <c r="M141" s="24"/>
    </row>
    <row r="142" spans="2:13" ht="18" customHeight="1" x14ac:dyDescent="0.35">
      <c r="B142" s="52" t="s">
        <v>215</v>
      </c>
      <c r="C142" s="27" t="s">
        <v>227</v>
      </c>
      <c r="D142" s="57">
        <v>8.4</v>
      </c>
      <c r="E142" s="27" t="s">
        <v>549</v>
      </c>
      <c r="F142" s="27" t="s">
        <v>470</v>
      </c>
      <c r="G142" s="40">
        <v>0</v>
      </c>
      <c r="H142" s="37">
        <v>350</v>
      </c>
      <c r="I142" s="43">
        <v>45813</v>
      </c>
      <c r="J142" s="43">
        <v>45813</v>
      </c>
      <c r="K142" s="43"/>
      <c r="L142" s="27" t="s">
        <v>482</v>
      </c>
      <c r="M142" s="24"/>
    </row>
    <row r="143" spans="2:13" ht="18" customHeight="1" x14ac:dyDescent="0.35">
      <c r="B143" s="52" t="s">
        <v>216</v>
      </c>
      <c r="C143" s="27" t="s">
        <v>228</v>
      </c>
      <c r="D143" s="57">
        <v>8.4</v>
      </c>
      <c r="E143" s="27" t="s">
        <v>549</v>
      </c>
      <c r="F143" s="27" t="s">
        <v>471</v>
      </c>
      <c r="G143" s="40">
        <v>0</v>
      </c>
      <c r="H143" s="37">
        <v>250</v>
      </c>
      <c r="I143" s="43">
        <v>45814</v>
      </c>
      <c r="J143" s="43">
        <v>45814</v>
      </c>
      <c r="K143" s="43"/>
      <c r="L143" s="27" t="s">
        <v>483</v>
      </c>
      <c r="M143" s="24"/>
    </row>
    <row r="144" spans="2:13" ht="18" customHeight="1" x14ac:dyDescent="0.35">
      <c r="B144" s="52"/>
      <c r="C144" s="27"/>
      <c r="D144" s="57"/>
      <c r="E144" s="57"/>
      <c r="F144" s="57"/>
      <c r="G144" s="40"/>
      <c r="H144" s="37"/>
      <c r="I144" s="43"/>
      <c r="J144" s="43"/>
      <c r="K144" s="43"/>
      <c r="L144" s="36"/>
      <c r="M144" s="24"/>
    </row>
    <row r="145" spans="2:13" ht="18" customHeight="1" x14ac:dyDescent="0.45">
      <c r="B145" s="52">
        <v>9</v>
      </c>
      <c r="C145" s="62" t="s">
        <v>543</v>
      </c>
      <c r="D145" s="57"/>
      <c r="E145" s="57"/>
      <c r="F145" s="57"/>
      <c r="G145" s="40"/>
      <c r="H145" s="37"/>
      <c r="I145" s="43"/>
      <c r="J145" s="43"/>
      <c r="K145" s="43"/>
      <c r="L145" s="36"/>
      <c r="M145" s="24"/>
    </row>
    <row r="146" spans="2:13" ht="18" customHeight="1" x14ac:dyDescent="0.35">
      <c r="B146" s="52">
        <v>9.1</v>
      </c>
      <c r="C146" s="27" t="s">
        <v>235</v>
      </c>
      <c r="D146" s="27" t="s">
        <v>484</v>
      </c>
      <c r="E146" s="27" t="s">
        <v>547</v>
      </c>
      <c r="F146" s="27" t="s">
        <v>487</v>
      </c>
      <c r="G146" s="40">
        <v>0</v>
      </c>
      <c r="H146" s="37">
        <v>1000</v>
      </c>
      <c r="I146" s="43">
        <v>45811</v>
      </c>
      <c r="J146" s="43">
        <v>45812</v>
      </c>
      <c r="K146" s="43"/>
      <c r="L146" s="27" t="s">
        <v>497</v>
      </c>
      <c r="M146" s="24"/>
    </row>
    <row r="147" spans="2:13" ht="18" customHeight="1" x14ac:dyDescent="0.35">
      <c r="B147" s="52" t="s">
        <v>229</v>
      </c>
      <c r="C147" s="27" t="s">
        <v>236</v>
      </c>
      <c r="D147" s="57">
        <v>9.1</v>
      </c>
      <c r="E147" s="27" t="s">
        <v>547</v>
      </c>
      <c r="F147" s="27" t="s">
        <v>488</v>
      </c>
      <c r="G147" s="40">
        <v>0</v>
      </c>
      <c r="H147" s="37">
        <v>600</v>
      </c>
      <c r="I147" s="43">
        <v>45811</v>
      </c>
      <c r="J147" s="43">
        <v>45811</v>
      </c>
      <c r="K147" s="43"/>
      <c r="L147" s="27" t="s">
        <v>498</v>
      </c>
      <c r="M147" s="24"/>
    </row>
    <row r="148" spans="2:13" ht="18" customHeight="1" x14ac:dyDescent="0.35">
      <c r="B148" s="52" t="s">
        <v>230</v>
      </c>
      <c r="C148" s="27" t="s">
        <v>237</v>
      </c>
      <c r="D148" s="57">
        <v>9.1</v>
      </c>
      <c r="E148" s="27" t="s">
        <v>547</v>
      </c>
      <c r="F148" s="27" t="s">
        <v>489</v>
      </c>
      <c r="G148" s="40">
        <v>0</v>
      </c>
      <c r="H148" s="37">
        <v>400</v>
      </c>
      <c r="I148" s="43">
        <v>45812</v>
      </c>
      <c r="J148" s="43">
        <v>45812</v>
      </c>
      <c r="K148" s="43"/>
      <c r="L148" s="27" t="s">
        <v>499</v>
      </c>
      <c r="M148" s="24"/>
    </row>
    <row r="149" spans="2:13" ht="18" customHeight="1" x14ac:dyDescent="0.35">
      <c r="B149" s="52">
        <v>9.1999999999999993</v>
      </c>
      <c r="C149" s="27" t="s">
        <v>238</v>
      </c>
      <c r="D149" s="57">
        <v>9.1</v>
      </c>
      <c r="E149" s="27" t="s">
        <v>547</v>
      </c>
      <c r="F149" s="27" t="s">
        <v>486</v>
      </c>
      <c r="G149" s="40">
        <v>0</v>
      </c>
      <c r="H149" s="24">
        <v>0</v>
      </c>
      <c r="I149" s="43">
        <v>45813</v>
      </c>
      <c r="J149" s="43">
        <v>45813</v>
      </c>
      <c r="K149" s="43"/>
      <c r="L149" s="27" t="s">
        <v>500</v>
      </c>
      <c r="M149" s="24"/>
    </row>
    <row r="150" spans="2:13" ht="18" customHeight="1" x14ac:dyDescent="0.35">
      <c r="B150" s="52" t="s">
        <v>231</v>
      </c>
      <c r="C150" s="27" t="s">
        <v>239</v>
      </c>
      <c r="D150" s="57">
        <v>9.1999999999999993</v>
      </c>
      <c r="E150" s="27" t="s">
        <v>547</v>
      </c>
      <c r="F150" s="27" t="s">
        <v>490</v>
      </c>
      <c r="G150" s="40">
        <v>0</v>
      </c>
      <c r="H150" s="24">
        <v>0</v>
      </c>
      <c r="I150" s="43">
        <v>45813</v>
      </c>
      <c r="J150" s="43">
        <v>45813</v>
      </c>
      <c r="K150" s="43"/>
      <c r="L150" s="27" t="s">
        <v>501</v>
      </c>
      <c r="M150" s="24"/>
    </row>
    <row r="151" spans="2:13" ht="18" customHeight="1" x14ac:dyDescent="0.35">
      <c r="B151" s="52" t="s">
        <v>232</v>
      </c>
      <c r="C151" s="27" t="s">
        <v>240</v>
      </c>
      <c r="D151" s="57">
        <v>9.1999999999999993</v>
      </c>
      <c r="E151" s="27" t="s">
        <v>547</v>
      </c>
      <c r="F151" s="27" t="s">
        <v>491</v>
      </c>
      <c r="G151" s="40">
        <v>0</v>
      </c>
      <c r="H151" s="24">
        <v>0</v>
      </c>
      <c r="I151" s="43">
        <v>45813</v>
      </c>
      <c r="J151" s="43">
        <v>45813</v>
      </c>
      <c r="K151" s="43"/>
      <c r="L151" s="45" t="s">
        <v>502</v>
      </c>
      <c r="M151" s="24"/>
    </row>
    <row r="152" spans="2:13" ht="18" customHeight="1" x14ac:dyDescent="0.35">
      <c r="B152" s="52">
        <v>9.3000000000000007</v>
      </c>
      <c r="C152" s="27" t="s">
        <v>241</v>
      </c>
      <c r="D152" s="57" t="s">
        <v>232</v>
      </c>
      <c r="E152" s="27" t="s">
        <v>547</v>
      </c>
      <c r="F152" s="27" t="s">
        <v>492</v>
      </c>
      <c r="G152" s="40">
        <v>0</v>
      </c>
      <c r="H152" s="37">
        <v>300</v>
      </c>
      <c r="I152" s="43">
        <v>45813</v>
      </c>
      <c r="J152" s="43">
        <v>45814</v>
      </c>
      <c r="K152" s="43"/>
      <c r="L152" s="27" t="s">
        <v>503</v>
      </c>
      <c r="M152" s="24"/>
    </row>
    <row r="153" spans="2:13" ht="18" customHeight="1" x14ac:dyDescent="0.35">
      <c r="B153" s="52" t="s">
        <v>233</v>
      </c>
      <c r="C153" s="27" t="s">
        <v>242</v>
      </c>
      <c r="D153" s="57">
        <v>9.3000000000000007</v>
      </c>
      <c r="E153" s="27" t="s">
        <v>547</v>
      </c>
      <c r="F153" s="27" t="s">
        <v>493</v>
      </c>
      <c r="G153" s="40">
        <v>0</v>
      </c>
      <c r="H153" s="37">
        <v>200</v>
      </c>
      <c r="I153" s="43">
        <v>45813</v>
      </c>
      <c r="J153" s="43">
        <v>45813</v>
      </c>
      <c r="K153" s="43"/>
      <c r="L153" s="27" t="s">
        <v>504</v>
      </c>
      <c r="M153" s="24"/>
    </row>
    <row r="154" spans="2:13" ht="18" customHeight="1" x14ac:dyDescent="0.35">
      <c r="B154" s="52" t="s">
        <v>234</v>
      </c>
      <c r="C154" s="27" t="s">
        <v>243</v>
      </c>
      <c r="D154" s="57">
        <v>9.3000000000000007</v>
      </c>
      <c r="E154" s="27" t="s">
        <v>547</v>
      </c>
      <c r="F154" s="27" t="s">
        <v>405</v>
      </c>
      <c r="G154" s="40">
        <v>0</v>
      </c>
      <c r="H154" s="37">
        <v>100</v>
      </c>
      <c r="I154" s="43">
        <v>45814</v>
      </c>
      <c r="J154" s="43">
        <v>45814</v>
      </c>
      <c r="K154" s="43"/>
      <c r="L154" s="27" t="s">
        <v>505</v>
      </c>
      <c r="M154" s="24"/>
    </row>
    <row r="155" spans="2:13" ht="18" customHeight="1" x14ac:dyDescent="0.35">
      <c r="B155" s="52">
        <v>9.4</v>
      </c>
      <c r="C155" s="27" t="s">
        <v>244</v>
      </c>
      <c r="D155" s="57" t="s">
        <v>485</v>
      </c>
      <c r="E155" s="27" t="s">
        <v>547</v>
      </c>
      <c r="F155" s="27" t="s">
        <v>494</v>
      </c>
      <c r="G155" s="40">
        <v>0</v>
      </c>
      <c r="H155" s="37">
        <v>500</v>
      </c>
      <c r="I155" s="43">
        <v>45814</v>
      </c>
      <c r="J155" s="43">
        <v>45814</v>
      </c>
      <c r="K155" s="43"/>
      <c r="L155" s="27" t="s">
        <v>506</v>
      </c>
      <c r="M155" s="24"/>
    </row>
    <row r="156" spans="2:13" ht="18" customHeight="1" x14ac:dyDescent="0.35">
      <c r="B156" s="52" t="s">
        <v>544</v>
      </c>
      <c r="C156" s="27" t="s">
        <v>245</v>
      </c>
      <c r="D156" s="57">
        <v>9.4</v>
      </c>
      <c r="E156" s="27" t="s">
        <v>547</v>
      </c>
      <c r="F156" s="27" t="s">
        <v>495</v>
      </c>
      <c r="G156" s="40">
        <v>0</v>
      </c>
      <c r="H156" s="37">
        <v>300</v>
      </c>
      <c r="I156" s="43">
        <v>45814</v>
      </c>
      <c r="J156" s="43">
        <v>45814</v>
      </c>
      <c r="K156" s="43"/>
      <c r="L156" s="27" t="s">
        <v>507</v>
      </c>
      <c r="M156" s="24"/>
    </row>
    <row r="157" spans="2:13" ht="18" customHeight="1" x14ac:dyDescent="0.35">
      <c r="B157" s="52" t="s">
        <v>545</v>
      </c>
      <c r="C157" s="27" t="s">
        <v>246</v>
      </c>
      <c r="D157" s="57">
        <v>9.4</v>
      </c>
      <c r="E157" s="27" t="s">
        <v>547</v>
      </c>
      <c r="F157" s="27" t="s">
        <v>496</v>
      </c>
      <c r="G157" s="40">
        <v>0</v>
      </c>
      <c r="H157" s="37">
        <v>200</v>
      </c>
      <c r="I157" s="43">
        <v>45814</v>
      </c>
      <c r="J157" s="43">
        <v>45814</v>
      </c>
      <c r="K157" s="43"/>
      <c r="L157" s="27" t="s">
        <v>508</v>
      </c>
      <c r="M157" s="24"/>
    </row>
    <row r="158" spans="2:13" ht="18.5" customHeight="1" x14ac:dyDescent="0.35">
      <c r="B158" s="30"/>
      <c r="C158" s="27"/>
      <c r="D158" s="23"/>
      <c r="E158" s="13"/>
      <c r="F158" s="13"/>
      <c r="G158" s="14"/>
      <c r="H158" s="15"/>
      <c r="I158" s="16"/>
      <c r="J158" s="16"/>
      <c r="K158" s="16"/>
      <c r="L158" s="13"/>
    </row>
    <row r="159" spans="2:13" x14ac:dyDescent="0.35">
      <c r="B159" s="31"/>
      <c r="C159"/>
    </row>
    <row r="160" spans="2:13" x14ac:dyDescent="0.35">
      <c r="B160" s="31"/>
      <c r="C160"/>
    </row>
    <row r="161" spans="2:3" x14ac:dyDescent="0.35">
      <c r="B161" s="31"/>
      <c r="C161" s="26"/>
    </row>
    <row r="162" spans="2:3" x14ac:dyDescent="0.35">
      <c r="B162" s="31"/>
      <c r="C162" s="26"/>
    </row>
    <row r="163" spans="2:3" x14ac:dyDescent="0.35">
      <c r="B163" s="31"/>
      <c r="C163"/>
    </row>
    <row r="164" spans="2:3" x14ac:dyDescent="0.35">
      <c r="B164" s="31"/>
      <c r="C164"/>
    </row>
    <row r="165" spans="2:3" x14ac:dyDescent="0.35">
      <c r="B165" s="31"/>
      <c r="C165"/>
    </row>
    <row r="166" spans="2:3" x14ac:dyDescent="0.35">
      <c r="B166" s="31"/>
      <c r="C166"/>
    </row>
    <row r="167" spans="2:3" x14ac:dyDescent="0.35">
      <c r="B167" s="31"/>
      <c r="C167"/>
    </row>
    <row r="168" spans="2:3" x14ac:dyDescent="0.35">
      <c r="C168"/>
    </row>
    <row r="169" spans="2:3" x14ac:dyDescent="0.35">
      <c r="C169"/>
    </row>
    <row r="170" spans="2:3" x14ac:dyDescent="0.35">
      <c r="C170"/>
    </row>
    <row r="171" spans="2:3" x14ac:dyDescent="0.35">
      <c r="C171"/>
    </row>
    <row r="172" spans="2:3" x14ac:dyDescent="0.35">
      <c r="C172"/>
    </row>
    <row r="173" spans="2:3" x14ac:dyDescent="0.35">
      <c r="C173"/>
    </row>
    <row r="230" spans="2:12" ht="18" customHeight="1" x14ac:dyDescent="0.35">
      <c r="B230" s="25"/>
      <c r="C230" s="29"/>
      <c r="D230" s="2"/>
      <c r="E230" s="2"/>
      <c r="F230" s="2"/>
      <c r="G230" s="3">
        <v>0</v>
      </c>
      <c r="H230" s="11"/>
      <c r="I230" s="4"/>
      <c r="J230" s="4"/>
      <c r="K230" s="4"/>
      <c r="L230" s="2"/>
    </row>
    <row r="231" spans="2:12" ht="18" customHeight="1" x14ac:dyDescent="0.35">
      <c r="B231" s="25"/>
      <c r="C231" s="22"/>
      <c r="D231" s="2"/>
      <c r="E231" s="2"/>
      <c r="F231" s="2"/>
      <c r="G231" s="3">
        <v>0</v>
      </c>
      <c r="H231" s="11"/>
      <c r="I231" s="4"/>
      <c r="J231" s="4"/>
      <c r="K231" s="4"/>
      <c r="L231" s="2"/>
    </row>
    <row r="232" spans="2:12" ht="18" customHeight="1" x14ac:dyDescent="0.35">
      <c r="B232" s="25"/>
      <c r="C232" s="22"/>
      <c r="D232" s="2"/>
      <c r="E232" s="2"/>
      <c r="F232" s="2"/>
      <c r="G232" s="3">
        <v>0</v>
      </c>
      <c r="H232" s="11"/>
      <c r="I232" s="4"/>
      <c r="J232" s="4"/>
      <c r="K232" s="4"/>
      <c r="L232" s="2"/>
    </row>
    <row r="233" spans="2:12" ht="18" customHeight="1" x14ac:dyDescent="0.35">
      <c r="B233" s="25"/>
      <c r="C233" s="23"/>
      <c r="D233" s="13"/>
      <c r="E233" s="13"/>
      <c r="F233" s="13"/>
      <c r="G233" s="14">
        <v>0</v>
      </c>
      <c r="H233" s="15"/>
      <c r="I233" s="16"/>
      <c r="J233" s="16"/>
      <c r="K233" s="16"/>
      <c r="L233" s="13"/>
    </row>
    <row r="234" spans="2:12" ht="18" customHeight="1" x14ac:dyDescent="0.35">
      <c r="B234" s="25"/>
      <c r="C234" s="22"/>
      <c r="D234" s="2"/>
      <c r="E234" s="2"/>
      <c r="F234" s="2"/>
      <c r="G234" s="3">
        <v>0</v>
      </c>
      <c r="H234" s="11"/>
      <c r="I234" s="4"/>
      <c r="J234" s="4"/>
      <c r="K234" s="4"/>
      <c r="L234" s="2"/>
    </row>
    <row r="235" spans="2:12" ht="18" customHeight="1" x14ac:dyDescent="0.35">
      <c r="B235" s="25"/>
      <c r="C235" s="22"/>
      <c r="D235" s="2"/>
      <c r="E235" s="2"/>
      <c r="F235" s="2"/>
      <c r="G235" s="3"/>
      <c r="H235" s="11"/>
      <c r="I235" s="4"/>
      <c r="J235" s="4"/>
      <c r="K235" s="4"/>
      <c r="L235" s="2"/>
    </row>
    <row r="236" spans="2:12" ht="18" customHeight="1" x14ac:dyDescent="0.35">
      <c r="B236" s="25"/>
      <c r="C236" s="22"/>
      <c r="D236" s="2"/>
      <c r="E236" s="2"/>
      <c r="F236" s="2"/>
      <c r="G236" s="3">
        <v>0</v>
      </c>
      <c r="H236" s="11"/>
      <c r="I236" s="4"/>
      <c r="J236" s="4"/>
      <c r="K236" s="4"/>
      <c r="L236" s="2"/>
    </row>
    <row r="237" spans="2:12" ht="18" customHeight="1" x14ac:dyDescent="0.35">
      <c r="B237" s="25"/>
      <c r="C237" s="23"/>
      <c r="D237" s="13"/>
      <c r="E237" s="13"/>
      <c r="F237" s="13"/>
      <c r="G237" s="14">
        <v>0</v>
      </c>
      <c r="H237" s="15"/>
      <c r="I237" s="16"/>
      <c r="J237" s="16"/>
      <c r="K237" s="16"/>
      <c r="L237" s="13"/>
    </row>
    <row r="238" spans="2:12" ht="18" customHeight="1" x14ac:dyDescent="0.35">
      <c r="B238" s="25"/>
      <c r="C238" s="22"/>
      <c r="D238" s="2"/>
      <c r="E238" s="2"/>
      <c r="F238" s="2"/>
      <c r="G238" s="3">
        <v>0</v>
      </c>
      <c r="H238" s="11"/>
      <c r="I238" s="4"/>
      <c r="J238" s="4"/>
      <c r="K238" s="4"/>
      <c r="L238" s="2"/>
    </row>
    <row r="239" spans="2:12" ht="18" customHeight="1" x14ac:dyDescent="0.35">
      <c r="B239" s="25"/>
      <c r="C239" s="22"/>
      <c r="D239" s="2"/>
      <c r="E239" s="2"/>
      <c r="F239" s="2"/>
      <c r="G239" s="3">
        <v>0</v>
      </c>
      <c r="H239" s="11"/>
      <c r="I239" s="4"/>
      <c r="J239" s="4"/>
      <c r="K239" s="4"/>
      <c r="L239" s="2"/>
    </row>
    <row r="240" spans="2:12" ht="31.25" customHeight="1" x14ac:dyDescent="0.35">
      <c r="B240" s="5"/>
      <c r="C240" s="6"/>
      <c r="D240" s="6"/>
      <c r="E240" s="6"/>
      <c r="F240" s="75" t="s">
        <v>41</v>
      </c>
      <c r="G240" s="75"/>
      <c r="H240" s="12">
        <f>SUM(H46,H57,H62,H77)</f>
        <v>430</v>
      </c>
      <c r="I240" s="7"/>
      <c r="J240" s="7"/>
      <c r="K240" s="7"/>
      <c r="L240" s="6"/>
    </row>
    <row r="242" spans="2:12" s="8" customFormat="1" ht="50" customHeight="1" x14ac:dyDescent="0.35">
      <c r="B242" s="76"/>
      <c r="C242" s="76"/>
      <c r="D242" s="76"/>
      <c r="E242" s="76"/>
      <c r="F242" s="76"/>
      <c r="G242" s="76"/>
      <c r="H242" s="76"/>
      <c r="I242" s="76"/>
      <c r="J242" s="76"/>
      <c r="K242" s="76"/>
      <c r="L242" s="76"/>
    </row>
  </sheetData>
  <mergeCells count="4">
    <mergeCell ref="F240:G240"/>
    <mergeCell ref="B242:L242"/>
    <mergeCell ref="F2:H2"/>
    <mergeCell ref="F3:H3"/>
  </mergeCells>
  <phoneticPr fontId="1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01E35-BE85-1041-80C6-E336F2DC0CF1}">
  <sheetPr>
    <tabColor theme="1"/>
  </sheetPr>
  <dimension ref="B1:B2"/>
  <sheetViews>
    <sheetView showGridLines="0" workbookViewId="0">
      <selection activeCell="W47" sqref="W47"/>
    </sheetView>
  </sheetViews>
  <sheetFormatPr defaultColWidth="10.6640625" defaultRowHeight="14.5" x14ac:dyDescent="0.35"/>
  <cols>
    <col min="1" max="1" width="3.1640625" style="17" customWidth="1"/>
    <col min="2" max="2" width="88.1640625" style="17" customWidth="1"/>
    <col min="3" max="16384" width="10.6640625" style="17"/>
  </cols>
  <sheetData>
    <row r="1" spans="2:2" ht="20" customHeight="1" x14ac:dyDescent="0.35"/>
    <row r="2" spans="2:2" ht="105" customHeight="1" x14ac:dyDescent="0.35">
      <c r="B2" s="18" t="s">
        <v>42</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660bea3-5c44-4533-8e78-ac125d2c777d">
      <Terms xmlns="http://schemas.microsoft.com/office/infopath/2007/PartnerControls"/>
    </lcf76f155ced4ddcb4097134ff3c332f>
    <TaxCatchAll xmlns="1bbbde70-c8d6-4b4b-bde6-92480dadced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DC038418830564F80A3C234CBB5E42F" ma:contentTypeVersion="14" ma:contentTypeDescription="Create a new document." ma:contentTypeScope="" ma:versionID="6b93be38ac93d38c98b9876770611a76">
  <xsd:schema xmlns:xsd="http://www.w3.org/2001/XMLSchema" xmlns:xs="http://www.w3.org/2001/XMLSchema" xmlns:p="http://schemas.microsoft.com/office/2006/metadata/properties" xmlns:ns2="b660bea3-5c44-4533-8e78-ac125d2c777d" xmlns:ns3="1bbbde70-c8d6-4b4b-bde6-92480dadced2" targetNamespace="http://schemas.microsoft.com/office/2006/metadata/properties" ma:root="true" ma:fieldsID="83c79230edf3020e27def2714ca956c1" ns2:_="" ns3:_="">
    <xsd:import namespace="b660bea3-5c44-4533-8e78-ac125d2c777d"/>
    <xsd:import namespace="1bbbde70-c8d6-4b4b-bde6-92480dadce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60bea3-5c44-4533-8e78-ac125d2c77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79db1d1-907c-4334-b8ee-f19533b23b9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bbde70-c8d6-4b4b-bde6-92480dadced2"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a12f81ab-90db-4371-95a3-4cd1baee2859}" ma:internalName="TaxCatchAll" ma:showField="CatchAllData" ma:web="1bbbde70-c8d6-4b4b-bde6-92480dadce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D0E7B4-E25D-419D-A199-DAEB3EF3B674}">
  <ds:schemaRefs>
    <ds:schemaRef ds:uri="http://schemas.microsoft.com/office/2006/metadata/properties"/>
    <ds:schemaRef ds:uri="http://schemas.microsoft.com/office/infopath/2007/PartnerControls"/>
    <ds:schemaRef ds:uri="b660bea3-5c44-4533-8e78-ac125d2c777d"/>
    <ds:schemaRef ds:uri="1bbbde70-c8d6-4b4b-bde6-92480dadced2"/>
  </ds:schemaRefs>
</ds:datastoreItem>
</file>

<file path=customXml/itemProps2.xml><?xml version="1.0" encoding="utf-8"?>
<ds:datastoreItem xmlns:ds="http://schemas.openxmlformats.org/officeDocument/2006/customXml" ds:itemID="{0E3B9184-E993-480B-ADB3-6539945975C2}">
  <ds:schemaRefs>
    <ds:schemaRef ds:uri="http://schemas.microsoft.com/sharepoint/v3/contenttype/forms"/>
  </ds:schemaRefs>
</ds:datastoreItem>
</file>

<file path=customXml/itemProps3.xml><?xml version="1.0" encoding="utf-8"?>
<ds:datastoreItem xmlns:ds="http://schemas.openxmlformats.org/officeDocument/2006/customXml" ds:itemID="{9AF96375-7F43-4012-B1B4-59B61C9237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60bea3-5c44-4533-8e78-ac125d2c777d"/>
    <ds:schemaRef ds:uri="1bbbde70-c8d6-4b4b-bde6-92480dadce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WBS Dictionary</vt:lpstr>
      <vt:lpstr>- Disclaimer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cp:keywords/>
  <dc:description/>
  <cp:lastModifiedBy>Sana Rehman</cp:lastModifiedBy>
  <cp:revision/>
  <dcterms:created xsi:type="dcterms:W3CDTF">2016-06-18T21:51:36Z</dcterms:created>
  <dcterms:modified xsi:type="dcterms:W3CDTF">2025-04-20T00:46:14Z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0x0101001DC038418830564F80A3C234CBB5E42F</vt:lpwstr>
  </property>
  <property fmtid="{D5CDD505-2E9C-101B-9397-08002B2CF9AE}" pid="3" name="MediaServiceImageTags">
    <vt:lpwstr/>
  </property>
</Properties>
</file>