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mc:AlternateContent xmlns:mc="http://schemas.openxmlformats.org/markup-compatibility/2006">
    <mc:Choice Requires="x15">
      <x15ac:absPath xmlns:x15ac="http://schemas.microsoft.com/office/spreadsheetml/2010/11/ac" url="https://trioscollege-my.sharepoint.com/personal/sana_rehman_triosstudent_com/Documents/Contoso project/project 1/"/>
    </mc:Choice>
  </mc:AlternateContent>
  <xr:revisionPtr revIDLastSave="26" documentId="8_{48804DA0-51EE-4B71-A25B-493C8A499E6C}" xr6:coauthVersionLast="47" xr6:coauthVersionMax="47" xr10:uidLastSave="{0220578C-0D57-4380-9EDC-B4424E2DD737}"/>
  <bookViews>
    <workbookView xWindow="-110" yWindow="-110" windowWidth="19420" windowHeight="10300" xr2:uid="{00000000-000D-0000-FFFF-FFFF00000000}"/>
  </bookViews>
  <sheets>
    <sheet name="Project schedule" sheetId="11" r:id="rId1"/>
    <sheet name="About" sheetId="12" r:id="rId2"/>
  </sheets>
  <definedNames>
    <definedName name="Display_Week">'Project schedule'!$P$2</definedName>
    <definedName name="_xlnm.Print_Titles" localSheetId="0">'Project schedule'!$4:$6</definedName>
    <definedName name="Project_Start">'Project schedule'!$P$1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1" l="1"/>
  <c r="G32" i="11"/>
  <c r="G33" i="11"/>
  <c r="G34" i="11"/>
  <c r="G35" i="11"/>
  <c r="G36" i="11"/>
  <c r="G37" i="11"/>
  <c r="G38" i="11"/>
  <c r="G39" i="11"/>
  <c r="G40" i="11"/>
  <c r="G41" i="11"/>
  <c r="G42" i="11"/>
  <c r="G43" i="11"/>
  <c r="G44" i="11"/>
  <c r="G45" i="11"/>
  <c r="G46" i="11"/>
  <c r="G47" i="11"/>
  <c r="G48" i="11"/>
  <c r="G49" i="11"/>
  <c r="G50" i="11"/>
  <c r="G51" i="11"/>
  <c r="G52" i="11"/>
  <c r="G53" i="11"/>
  <c r="G54" i="11"/>
  <c r="G55" i="11"/>
  <c r="G56" i="11"/>
  <c r="G57" i="11"/>
  <c r="G58" i="11"/>
  <c r="G59" i="11"/>
  <c r="G60" i="11"/>
  <c r="G61" i="11"/>
  <c r="G62" i="11"/>
  <c r="G63" i="11"/>
  <c r="G64" i="11"/>
  <c r="G65" i="11"/>
  <c r="G66" i="11"/>
  <c r="G67" i="11"/>
  <c r="G68" i="11"/>
  <c r="G69" i="11"/>
  <c r="G70" i="11"/>
  <c r="G71" i="11"/>
  <c r="G72" i="11"/>
  <c r="G73" i="11"/>
  <c r="G74" i="11"/>
  <c r="G75" i="11"/>
  <c r="G76" i="11"/>
  <c r="G77" i="11"/>
  <c r="G78" i="11"/>
  <c r="G79" i="11"/>
  <c r="G80" i="11"/>
  <c r="G81" i="11"/>
  <c r="G82" i="11"/>
  <c r="G83" i="11"/>
  <c r="G84" i="11"/>
  <c r="G85" i="11"/>
  <c r="G86" i="11"/>
  <c r="G87" i="11"/>
  <c r="G88" i="11"/>
  <c r="G89" i="11"/>
  <c r="G90" i="11"/>
  <c r="G91" i="11"/>
  <c r="G92" i="11"/>
  <c r="G93" i="11"/>
  <c r="G94" i="11"/>
  <c r="G95" i="11"/>
  <c r="G96" i="11"/>
  <c r="G97" i="11"/>
  <c r="G98" i="11"/>
  <c r="G99" i="11"/>
  <c r="G100" i="11"/>
  <c r="G101" i="11"/>
  <c r="G102" i="11"/>
  <c r="G103" i="11"/>
  <c r="G104" i="11"/>
  <c r="G105" i="11"/>
  <c r="G106" i="11"/>
  <c r="G107" i="11"/>
  <c r="G108" i="11"/>
  <c r="G109" i="11"/>
  <c r="G110" i="11"/>
  <c r="G111" i="11"/>
  <c r="G112" i="11"/>
  <c r="G113" i="11"/>
  <c r="G114" i="11"/>
  <c r="G115" i="11"/>
  <c r="G116" i="11"/>
  <c r="G117" i="11"/>
  <c r="G118" i="11"/>
  <c r="G119" i="11"/>
  <c r="G120" i="11"/>
  <c r="G121" i="11"/>
  <c r="G122" i="11"/>
  <c r="G123" i="11"/>
  <c r="G124" i="11"/>
  <c r="G125" i="11"/>
  <c r="G126" i="11"/>
  <c r="G127" i="11"/>
  <c r="G128" i="11"/>
  <c r="G129" i="11"/>
  <c r="G130" i="11"/>
  <c r="G131" i="11"/>
  <c r="G132" i="11"/>
  <c r="G133" i="11"/>
  <c r="G134" i="11"/>
  <c r="G135" i="11"/>
  <c r="G136" i="11"/>
  <c r="G137" i="11"/>
  <c r="G138" i="11"/>
  <c r="G139" i="11"/>
  <c r="G140" i="11"/>
  <c r="G141" i="11"/>
  <c r="G142" i="11"/>
  <c r="G143" i="11"/>
  <c r="G144" i="11"/>
  <c r="G145" i="11"/>
  <c r="G146" i="11"/>
  <c r="G147" i="11"/>
  <c r="G148" i="11"/>
  <c r="G149" i="11"/>
  <c r="G150" i="11"/>
  <c r="G151" i="11"/>
  <c r="G152" i="11"/>
  <c r="G153" i="11"/>
  <c r="G154" i="11"/>
  <c r="G155" i="11"/>
  <c r="G156" i="11"/>
  <c r="G157" i="11"/>
  <c r="G158" i="11"/>
  <c r="G159" i="11"/>
  <c r="G160" i="11"/>
  <c r="D26" i="11"/>
  <c r="D80" i="11"/>
  <c r="D60" i="11"/>
  <c r="D40" i="11"/>
  <c r="G7" i="11"/>
  <c r="H5" i="11" l="1"/>
  <c r="G162" i="11"/>
  <c r="G161" i="11"/>
  <c r="G27" i="11"/>
  <c r="G21" i="11"/>
  <c r="G15" i="11"/>
  <c r="G8" i="11"/>
  <c r="G10" i="11" l="1"/>
  <c r="H6" i="11"/>
  <c r="G22" i="11" l="1"/>
  <c r="G23" i="11"/>
  <c r="G11" i="11"/>
  <c r="G16" i="11"/>
  <c r="G14" i="11"/>
  <c r="I5" i="11"/>
  <c r="J5" i="11" s="1"/>
  <c r="K5" i="11" s="1"/>
  <c r="L5" i="11" s="1"/>
  <c r="M5" i="11" s="1"/>
  <c r="N5" i="11" s="1"/>
  <c r="O5" i="11" s="1"/>
  <c r="H4" i="11"/>
  <c r="G28" i="11" l="1"/>
  <c r="G24" i="11"/>
  <c r="G29" i="11"/>
  <c r="G30" i="11"/>
  <c r="G17" i="11"/>
  <c r="G12" i="11"/>
  <c r="G13" i="11"/>
  <c r="O4" i="11"/>
  <c r="P5" i="11"/>
  <c r="Q5" i="11" s="1"/>
  <c r="R5" i="11" s="1"/>
  <c r="S5" i="11" s="1"/>
  <c r="T5" i="11" s="1"/>
  <c r="U5" i="11" s="1"/>
  <c r="V5" i="11" s="1"/>
  <c r="I6" i="11"/>
  <c r="G25" i="11" l="1"/>
  <c r="G26" i="11"/>
  <c r="G19" i="11"/>
  <c r="G18" i="11"/>
  <c r="V4" i="11"/>
  <c r="W5" i="11"/>
  <c r="X5" i="11" s="1"/>
  <c r="Y5" i="11" s="1"/>
  <c r="Z5" i="11" s="1"/>
  <c r="AA5" i="11" s="1"/>
  <c r="AB5" i="11" s="1"/>
  <c r="AC5" i="11" s="1"/>
  <c r="J6" i="11"/>
  <c r="G20" i="11" l="1"/>
  <c r="AD5" i="11"/>
  <c r="AE5" i="11" s="1"/>
  <c r="AF5" i="11" s="1"/>
  <c r="AG5" i="11" s="1"/>
  <c r="AH5" i="11" s="1"/>
  <c r="AI5" i="11" s="1"/>
  <c r="AC4" i="11"/>
  <c r="K6" i="11"/>
  <c r="AJ5" i="11" l="1"/>
  <c r="AK5" i="11" s="1"/>
  <c r="AL5" i="11" s="1"/>
  <c r="AM5" i="11" s="1"/>
  <c r="AN5" i="11" s="1"/>
  <c r="AO5" i="11" s="1"/>
  <c r="AP5" i="11" s="1"/>
  <c r="L6" i="11"/>
  <c r="AQ5" i="11" l="1"/>
  <c r="AR5" i="11" s="1"/>
  <c r="AJ4" i="11"/>
  <c r="M6" i="11"/>
  <c r="AS5" i="11" l="1"/>
  <c r="AR6" i="11"/>
  <c r="AQ4" i="11"/>
  <c r="N6" i="11"/>
  <c r="AT5" i="11" l="1"/>
  <c r="AS6" i="11"/>
  <c r="AU5" i="11" l="1"/>
  <c r="AT6" i="11"/>
  <c r="O6" i="11"/>
  <c r="P6" i="11"/>
  <c r="AV5" i="11" l="1"/>
  <c r="AU6" i="11"/>
  <c r="Q6" i="11"/>
  <c r="AW5" i="11" l="1"/>
  <c r="AX5" i="11" s="1"/>
  <c r="AV6" i="11"/>
  <c r="R6" i="11"/>
  <c r="AX6" i="11" l="1"/>
  <c r="AY5" i="11"/>
  <c r="AX4" i="11"/>
  <c r="AW6" i="11"/>
  <c r="S6" i="11"/>
  <c r="AZ5" i="11" l="1"/>
  <c r="AY6" i="11"/>
  <c r="T6" i="11"/>
  <c r="AZ6" i="11" l="1"/>
  <c r="BA5" i="11"/>
  <c r="U6" i="11"/>
  <c r="BA6" i="11" l="1"/>
  <c r="BB5" i="11"/>
  <c r="V6" i="11"/>
  <c r="BB6" i="11" l="1"/>
  <c r="BC5" i="11"/>
  <c r="W6" i="11"/>
  <c r="BD5" i="11" l="1"/>
  <c r="BC6" i="11"/>
  <c r="X6" i="11"/>
  <c r="BD6" i="11" l="1"/>
  <c r="BE5" i="11"/>
  <c r="Y6" i="11"/>
  <c r="BE6" i="11" l="1"/>
  <c r="BF5" i="11"/>
  <c r="BE4" i="11"/>
  <c r="Z6" i="11"/>
  <c r="BF6" i="11" l="1"/>
  <c r="BG5" i="11"/>
  <c r="AA6" i="11"/>
  <c r="BH5" i="11" l="1"/>
  <c r="BG6" i="11"/>
  <c r="AB6" i="11"/>
  <c r="BI5" i="11" l="1"/>
  <c r="BH6" i="11"/>
  <c r="AC6" i="11"/>
  <c r="BJ5" i="11" l="1"/>
  <c r="BI6" i="11"/>
  <c r="AD6" i="11"/>
  <c r="BK5" i="11" l="1"/>
  <c r="BJ6" i="11"/>
  <c r="AE6" i="11"/>
  <c r="BK6" i="11" l="1"/>
  <c r="AF6" i="11"/>
  <c r="AG6" i="11" l="1"/>
  <c r="AH6" i="11" l="1"/>
  <c r="AI6" i="11" l="1"/>
  <c r="AJ6" i="11" l="1"/>
  <c r="AK6" i="11" l="1"/>
  <c r="AL6" i="11" l="1"/>
  <c r="AM6" i="11" l="1"/>
  <c r="AN6" i="11" l="1"/>
  <c r="AO6" i="11" l="1"/>
  <c r="AP6" i="11" l="1"/>
  <c r="AQ6" i="11" l="1"/>
</calcChain>
</file>

<file path=xl/sharedStrings.xml><?xml version="1.0" encoding="utf-8"?>
<sst xmlns="http://schemas.openxmlformats.org/spreadsheetml/2006/main" count="399" uniqueCount="280">
  <si>
    <t>Insert new rows ABOVE this one</t>
  </si>
  <si>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</si>
  <si>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</si>
  <si>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</si>
  <si>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</si>
  <si>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</si>
  <si>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</si>
  <si>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</si>
  <si>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</si>
  <si>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</si>
  <si>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</si>
  <si>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</si>
  <si>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</si>
  <si>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</si>
  <si>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</si>
  <si>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</si>
  <si>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</si>
  <si>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</si>
  <si>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</si>
  <si>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</si>
  <si>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Initiation</t>
  </si>
  <si>
    <t>Project start:</t>
  </si>
  <si>
    <t>Display week:</t>
  </si>
  <si>
    <t>ASSIGNED TO</t>
  </si>
  <si>
    <t>Project manager: Sana Rehman</t>
  </si>
  <si>
    <t>Project ID : CONT-11</t>
  </si>
  <si>
    <t>Company: Contoso Consulting</t>
  </si>
  <si>
    <t>TASK ID</t>
  </si>
  <si>
    <t>DURATION</t>
  </si>
  <si>
    <t xml:space="preserve">Project Management </t>
  </si>
  <si>
    <t>Develop project charter</t>
  </si>
  <si>
    <t>1.1.1</t>
  </si>
  <si>
    <t>Define goals and objectives</t>
  </si>
  <si>
    <t>1.1.2</t>
  </si>
  <si>
    <t>Identify business drivers</t>
  </si>
  <si>
    <t>Identify stakeholders</t>
  </si>
  <si>
    <t>1.2.1</t>
  </si>
  <si>
    <t>Executive stakeholders</t>
  </si>
  <si>
    <t>1.2.2</t>
  </si>
  <si>
    <t>Departmental leads</t>
  </si>
  <si>
    <t>Define project scope</t>
  </si>
  <si>
    <t>1.3.1</t>
  </si>
  <si>
    <t>In-scope items</t>
  </si>
  <si>
    <t>1.3.2</t>
  </si>
  <si>
    <t>Out-of-scope items</t>
  </si>
  <si>
    <t>Create project schedule</t>
  </si>
  <si>
    <t>1.4.1</t>
  </si>
  <si>
    <t>Define milestones</t>
  </si>
  <si>
    <t>1.4.2</t>
  </si>
  <si>
    <t>Establish deadlines</t>
  </si>
  <si>
    <t>Manage project budget</t>
  </si>
  <si>
    <t>1.5.1</t>
  </si>
  <si>
    <t xml:space="preserve"> Track hardware costs</t>
  </si>
  <si>
    <t>1.5.2</t>
  </si>
  <si>
    <t>Monitor labor costs</t>
  </si>
  <si>
    <t>Monitor and report progress</t>
  </si>
  <si>
    <t>1.6.1</t>
  </si>
  <si>
    <t>Weekly reports</t>
  </si>
  <si>
    <t>1.6.2</t>
  </si>
  <si>
    <t>Stakeholder updates</t>
  </si>
  <si>
    <t>Final sign-off and closeout</t>
  </si>
  <si>
    <t>1.7.1</t>
  </si>
  <si>
    <t>Review deliverables</t>
  </si>
  <si>
    <t>1.7.2</t>
  </si>
  <si>
    <t>Final approval</t>
  </si>
  <si>
    <t>Inventory and Compatibility Assessment</t>
  </si>
  <si>
    <t>Gather hardware inventory from all offices</t>
  </si>
  <si>
    <t>2.1.1</t>
  </si>
  <si>
    <t>Regional inventory collection</t>
  </si>
  <si>
    <t>2.1.2</t>
  </si>
  <si>
    <t>Centralized database update</t>
  </si>
  <si>
    <t>2.2.1</t>
  </si>
  <si>
    <t>CPU and TPM validation</t>
  </si>
  <si>
    <t>2.2.2</t>
  </si>
  <si>
    <t>Memory and disk check</t>
  </si>
  <si>
    <t>Identify systems for upgrade vs. replacement</t>
  </si>
  <si>
    <t>2.3.1</t>
  </si>
  <si>
    <t>Create replacement list</t>
  </si>
  <si>
    <t>2.3.2</t>
  </si>
  <si>
    <t>Identify upgrade-ready systems</t>
  </si>
  <si>
    <t>Document compatibility results</t>
  </si>
  <si>
    <t>2.4.1</t>
  </si>
  <si>
    <t>Generate reports by region</t>
  </si>
  <si>
    <t>2.4.2</t>
  </si>
  <si>
    <t>Submit to management</t>
  </si>
  <si>
    <t>Submit assessment report</t>
  </si>
  <si>
    <t>2.5.1</t>
  </si>
  <si>
    <t>Compile data</t>
  </si>
  <si>
    <t>2.5.2</t>
  </si>
  <si>
    <t>Final review and submission</t>
  </si>
  <si>
    <t>Procurement and Licensing</t>
  </si>
  <si>
    <t>Define hardware specifications</t>
  </si>
  <si>
    <t>3.1.1</t>
  </si>
  <si>
    <t>Desktop specs</t>
  </si>
  <si>
    <t>3.1.2</t>
  </si>
  <si>
    <t>Laptop specs</t>
  </si>
  <si>
    <t>Select and approve vendors</t>
  </si>
  <si>
    <t>3.2.1</t>
  </si>
  <si>
    <t>Solicit quotes</t>
  </si>
  <si>
    <t>3.2.2</t>
  </si>
  <si>
    <t>Evaluate proposals</t>
  </si>
  <si>
    <t>Purchase 1,200 new Windows 11-compatible systems</t>
  </si>
  <si>
    <t>3.3.1</t>
  </si>
  <si>
    <t>Issue purchase orders</t>
  </si>
  <si>
    <t>3.3.2</t>
  </si>
  <si>
    <t>Confirm delivery schedule</t>
  </si>
  <si>
    <t>Acquire Microsoft Volume Licensing</t>
  </si>
  <si>
    <t>3.4.1</t>
  </si>
  <si>
    <t>Validate licensing needs</t>
  </si>
  <si>
    <t>3.4.2</t>
  </si>
  <si>
    <t>Finalize agreement</t>
  </si>
  <si>
    <t>Receive and verify shipments</t>
  </si>
  <si>
    <t>3.5.1</t>
  </si>
  <si>
    <t>Inspect hardware</t>
  </si>
  <si>
    <t>3.5.2</t>
  </si>
  <si>
    <t>Update asset inventory</t>
  </si>
  <si>
    <r>
      <t>Deployment Planning</t>
    </r>
    <r>
      <rPr>
        <sz val="14"/>
        <color theme="1"/>
        <rFont val="Arial"/>
        <family val="2"/>
        <scheme val="minor"/>
      </rPr>
      <t xml:space="preserve"> </t>
    </r>
  </si>
  <si>
    <t>Develop deployment strategy and schedule</t>
  </si>
  <si>
    <t>4.1.1</t>
  </si>
  <si>
    <t>Create regional rollout plan</t>
  </si>
  <si>
    <t>4.1.2</t>
  </si>
  <si>
    <t>Align with business priorities</t>
  </si>
  <si>
    <t>Assign regional IT leads</t>
  </si>
  <si>
    <t>4.2.1</t>
  </si>
  <si>
    <t>Confirm availability</t>
  </si>
  <si>
    <t>4.2.2</t>
  </si>
  <si>
    <t>Define responsibilities</t>
  </si>
  <si>
    <t xml:space="preserve"> Prepare imaging and configuration tools</t>
  </si>
  <si>
    <t>4.3.1</t>
  </si>
  <si>
    <t xml:space="preserve"> Build standard OS image</t>
  </si>
  <si>
    <t>4.3.2</t>
  </si>
  <si>
    <t>Test configuration settings</t>
  </si>
  <si>
    <t>Set up centralized deployment tools (MECM/WDS)</t>
  </si>
  <si>
    <t>4.4.1</t>
  </si>
  <si>
    <t>Install and configure servers</t>
  </si>
  <si>
    <t>4.4.2</t>
  </si>
  <si>
    <t>Validate deployment pipeline</t>
  </si>
  <si>
    <t>Prepare backup and recovery solutions</t>
  </si>
  <si>
    <t>4.5.1</t>
  </si>
  <si>
    <t>Select tools and methods</t>
  </si>
  <si>
    <t>4.5.2</t>
  </si>
  <si>
    <t>Test restore process</t>
  </si>
  <si>
    <t xml:space="preserve">System Deployment and Migration </t>
  </si>
  <si>
    <t>Backup user data and profiles</t>
  </si>
  <si>
    <t>5.1.1.</t>
  </si>
  <si>
    <t xml:space="preserve"> Automate backup scripts</t>
  </si>
  <si>
    <t>5.1.2</t>
  </si>
  <si>
    <t>Store data securely</t>
  </si>
  <si>
    <t>Deploy Windows 11 on compatible systems</t>
  </si>
  <si>
    <t>5.2.1</t>
  </si>
  <si>
    <t>Schedule upgrade</t>
  </si>
  <si>
    <t>6.2.2.</t>
  </si>
  <si>
    <t>Monitor for issues</t>
  </si>
  <si>
    <t>Replace legacy systems with new hardware</t>
  </si>
  <si>
    <t>5.3.1</t>
  </si>
  <si>
    <t>Set up new devices</t>
  </si>
  <si>
    <t>5.3.2</t>
  </si>
  <si>
    <t>Transfer user roles</t>
  </si>
  <si>
    <t>Restore user data and profiles</t>
  </si>
  <si>
    <t>5.4.1</t>
  </si>
  <si>
    <t>Run restore utility</t>
  </si>
  <si>
    <t>5.4.2</t>
  </si>
  <si>
    <t>Verify user access</t>
  </si>
  <si>
    <t>Verify system functionality and network access</t>
  </si>
  <si>
    <t>5.5.1</t>
  </si>
  <si>
    <t>Test software and connections</t>
  </si>
  <si>
    <t>5.5.2</t>
  </si>
  <si>
    <t>Confirm user satisfaction</t>
  </si>
  <si>
    <r>
      <t>User Training and Documentation</t>
    </r>
    <r>
      <rPr>
        <sz val="14"/>
        <color theme="1"/>
        <rFont val="Arial"/>
        <family val="2"/>
        <scheme val="minor"/>
      </rPr>
      <t xml:space="preserve"> </t>
    </r>
  </si>
  <si>
    <t>Develop training materials and user guides</t>
  </si>
  <si>
    <t>6.1.1</t>
  </si>
  <si>
    <t>Create multilingual content</t>
  </si>
  <si>
    <t>6.1.2</t>
  </si>
  <si>
    <t>Develop role-based guides</t>
  </si>
  <si>
    <t>Schedule training sessions</t>
  </si>
  <si>
    <t>6.2.1.</t>
  </si>
  <si>
    <t>Coordinate with departments</t>
  </si>
  <si>
    <t>6.2.2</t>
  </si>
  <si>
    <t>Send invites and materials</t>
  </si>
  <si>
    <t>Deliver live or virtual training sessions</t>
  </si>
  <si>
    <t>6.3.1</t>
  </si>
  <si>
    <t>Conduct instructor-led sessions</t>
  </si>
  <si>
    <t>6.3.2</t>
  </si>
  <si>
    <t>Provide self-paced modules</t>
  </si>
  <si>
    <t>Provide multilingual support (EN, FR, SP, MAN)</t>
  </si>
  <si>
    <t>6.4.1</t>
  </si>
  <si>
    <t>Translate documents</t>
  </si>
  <si>
    <t>6.4.2</t>
  </si>
  <si>
    <t>Staff language-specific support</t>
  </si>
  <si>
    <t>Distribute documentation and FAQs</t>
  </si>
  <si>
    <t>6.5.1</t>
  </si>
  <si>
    <t>Email digital copies</t>
  </si>
  <si>
    <t>6.5.2</t>
  </si>
  <si>
    <t>Upload to company portal</t>
  </si>
  <si>
    <r>
      <t>Testing and Support</t>
    </r>
    <r>
      <rPr>
        <sz val="14"/>
        <color theme="1"/>
        <rFont val="Arial"/>
        <family val="2"/>
        <scheme val="minor"/>
      </rPr>
      <t xml:space="preserve"> </t>
    </r>
  </si>
  <si>
    <t>Conduct User Acceptance Testing (UAT)</t>
  </si>
  <si>
    <t>7.1.1</t>
  </si>
  <si>
    <t>Define test cases</t>
  </si>
  <si>
    <t>7.1.2</t>
  </si>
  <si>
    <t>Collect test results</t>
  </si>
  <si>
    <t>Collect feedback and resolve post-deployment issues</t>
  </si>
  <si>
    <t>7.2.1</t>
  </si>
  <si>
    <t>Open feedback channels</t>
  </si>
  <si>
    <t>7.2.2</t>
  </si>
  <si>
    <t>Track and resolve tickets</t>
  </si>
  <si>
    <t>Monitor system performance</t>
  </si>
  <si>
    <t>7.3.1</t>
  </si>
  <si>
    <t>Track KPIs</t>
  </si>
  <si>
    <t>7.3.2</t>
  </si>
  <si>
    <t>Log incidents</t>
  </si>
  <si>
    <t>Provide IT helpdesk and on-site support</t>
  </si>
  <si>
    <t>7.4.1</t>
  </si>
  <si>
    <t>Staff helpdesk</t>
  </si>
  <si>
    <t>7.4.2</t>
  </si>
  <si>
    <t>Schedule onsite assistance</t>
  </si>
  <si>
    <t>Final system verification</t>
  </si>
  <si>
    <t>7.5.1</t>
  </si>
  <si>
    <t>Conduct walkthroughs</t>
  </si>
  <si>
    <t>7.5.2</t>
  </si>
  <si>
    <t>Confirm readiness with users</t>
  </si>
  <si>
    <r>
      <t>Decommissioning and Recycling</t>
    </r>
    <r>
      <rPr>
        <sz val="14"/>
        <color theme="1"/>
        <rFont val="Arial"/>
        <family val="2"/>
        <scheme val="minor"/>
      </rPr>
      <t xml:space="preserve"> </t>
    </r>
  </si>
  <si>
    <t>Collect and inventory old systems</t>
  </si>
  <si>
    <t>8.1.1</t>
  </si>
  <si>
    <t>Tag devices</t>
  </si>
  <si>
    <t>8.1.2</t>
  </si>
  <si>
    <t>Record serial numbers</t>
  </si>
  <si>
    <t>Wipe data securely</t>
  </si>
  <si>
    <t>8.2.1</t>
  </si>
  <si>
    <t>Use certified tools</t>
  </si>
  <si>
    <t>8.2.2</t>
  </si>
  <si>
    <t>Document data erasure</t>
  </si>
  <si>
    <t>Recycle or dispose of hardware per policy</t>
  </si>
  <si>
    <t>8.3.1</t>
  </si>
  <si>
    <t>Work with recycling vendor</t>
  </si>
  <si>
    <t>8.3.2</t>
  </si>
  <si>
    <t>Provide proof of disposal</t>
  </si>
  <si>
    <t>Update asset management records</t>
  </si>
  <si>
    <t>8.4.1</t>
  </si>
  <si>
    <t>Remove decommissioned devices</t>
  </si>
  <si>
    <t>8.4.2</t>
  </si>
  <si>
    <t>Update lifecycle status</t>
  </si>
  <si>
    <r>
      <t>Project Closure</t>
    </r>
    <r>
      <rPr>
        <sz val="14"/>
        <color theme="1"/>
        <rFont val="Arial"/>
        <family val="2"/>
        <scheme val="minor"/>
      </rPr>
      <t xml:space="preserve"> </t>
    </r>
  </si>
  <si>
    <t>Final review and evaluation</t>
  </si>
  <si>
    <t>9.1.1</t>
  </si>
  <si>
    <t>Conduct performance review</t>
  </si>
  <si>
    <t>9.1.2</t>
  </si>
  <si>
    <t>Identify success criteria met</t>
  </si>
  <si>
    <t>Obtain sign-off from stakeholders</t>
  </si>
  <si>
    <t>9.2.1</t>
  </si>
  <si>
    <t>Schedule final presentation</t>
  </si>
  <si>
    <t>9.2.2</t>
  </si>
  <si>
    <t>Get written approval</t>
  </si>
  <si>
    <t>Archive documentation and reports</t>
  </si>
  <si>
    <t>9.3.1</t>
  </si>
  <si>
    <t>Save project files securely</t>
  </si>
  <si>
    <t>9.3.2'</t>
  </si>
  <si>
    <t>Notify IT and management</t>
  </si>
  <si>
    <t>Conduct lessons learned session</t>
  </si>
  <si>
    <t>9,4,1</t>
  </si>
  <si>
    <t>Host debrief meeting</t>
  </si>
  <si>
    <t>9,4,2</t>
  </si>
  <si>
    <t>Compile lessons learned document</t>
  </si>
  <si>
    <t>Sana</t>
  </si>
  <si>
    <t>Zain</t>
  </si>
  <si>
    <t>Alia</t>
  </si>
  <si>
    <t>CHEN</t>
  </si>
  <si>
    <t>Lisa</t>
  </si>
  <si>
    <t>Fatima</t>
  </si>
  <si>
    <t>Amir</t>
  </si>
  <si>
    <t>Irfan</t>
  </si>
  <si>
    <t>Chen</t>
  </si>
  <si>
    <t>Emma</t>
  </si>
  <si>
    <t>Andre</t>
  </si>
  <si>
    <t>Mei</t>
  </si>
  <si>
    <t>David</t>
  </si>
  <si>
    <t>Ravi</t>
  </si>
  <si>
    <t>Ron</t>
  </si>
  <si>
    <t>Aisha</t>
  </si>
  <si>
    <t>Zara</t>
  </si>
  <si>
    <t>Contoso Conslting Windows 11 upgrade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</si>
</sst>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8"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sz val="11"/>
      <color rgb="FF1D2129"/>
      <name val="Arial"/>
      <family val="2"/>
      <scheme val="minor"/>
    </font>
    <font>
      <u/>
      <sz val="11"/>
      <color indexed="12"/>
      <name val="Arial"/>
      <family val="2"/>
      <scheme val="minor"/>
    </font>
    <font>
      <b/>
      <sz val="14"/>
      <color theme="1"/>
      <name val="Arial"/>
      <family val="2"/>
      <scheme val="minor"/>
    </font>
    <font>
      <b/>
      <sz val="12"/>
      <color theme="0"/>
      <name val="Arial"/>
      <family val="2"/>
      <scheme val="minor"/>
    </font>
    <font>
      <sz val="10"/>
      <color theme="1"/>
      <name val="Century Gothic"/>
      <family val="1"/>
    </font>
    <font>
      <b/>
      <sz val="10"/>
      <color theme="1"/>
      <name val="Century Gothic"/>
      <family val="1"/>
    </font>
    <font>
      <sz val="10"/>
      <color theme="1"/>
      <name val="Century Gothic"/>
      <family val="2"/>
    </font>
    <font>
      <sz val="12"/>
      <color theme="1"/>
      <name val="Century Gothic"/>
      <family val="1"/>
    </font>
    <font>
      <b/>
      <sz val="28"/>
      <color theme="9"/>
      <name val="Arial Black"/>
      <family val="2"/>
      <scheme val="major"/>
    </font>
  </fonts>
  <fills count="10">
    <fill>
      <patternFill patternType="none"/>
    </fill>
    <fill>
      <patternFill patternType="gray125"/>
    </fill>
    <fill>
      <patternFill patternType="solid">
        <fgColor theme="0" tint="-4.9989318521683403E-2"/>
        <bgColor indexed="64"/>
      </patternFill>
    </fill>
    <fill>
      <patternFill patternType="solid">
        <fgColor theme="4" tint="0.59996337778862885"/>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3"/>
        <bgColor indexed="64"/>
      </patternFill>
    </fill>
    <fill>
      <patternFill patternType="solid">
        <fgColor rgb="FFFFFF00"/>
        <bgColor indexed="64"/>
      </patternFill>
    </fill>
  </fills>
  <borders count="19">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style="thin">
        <color indexed="64"/>
      </left>
      <right style="thin">
        <color indexed="64"/>
      </right>
      <top style="thin">
        <color indexed="64"/>
      </top>
      <bottom style="thin">
        <color indexed="64"/>
      </bottom>
      <diagonal/>
    </border>
    <border>
      <left/>
      <right style="thin">
        <color theme="0" tint="-0.14993743705557422"/>
      </right>
      <top/>
      <bottom/>
      <diagonal/>
    </border>
    <border>
      <left/>
      <right style="thin">
        <color theme="0" tint="-4.9989318521683403E-2"/>
      </right>
      <top style="thin">
        <color theme="0" tint="-4.9989318521683403E-2"/>
      </top>
      <bottom style="thin">
        <color theme="0" tint="-4.9989318521683403E-2"/>
      </bottom>
      <diagonal/>
    </border>
    <border>
      <left style="thin">
        <color indexed="64"/>
      </left>
      <right style="thin">
        <color indexed="64"/>
      </right>
      <top style="thin">
        <color indexed="64"/>
      </top>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15">
    <xf numFmtId="0" fontId="0" fillId="0" borderId="0" xfId="0"/>
    <xf numFmtId="0" fontId="1" fillId="0" borderId="0" xfId="0" applyFont="1"/>
    <xf numFmtId="0" fontId="0" fillId="0" borderId="0" xfId="0" applyAlignment="1">
      <alignment horizont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5" borderId="14" xfId="0" applyNumberFormat="1" applyFont="1" applyFill="1" applyBorder="1" applyAlignment="1">
      <alignment horizontal="center" vertical="center"/>
    </xf>
    <xf numFmtId="167" fontId="21" fillId="5" borderId="12" xfId="0" applyNumberFormat="1" applyFont="1" applyFill="1" applyBorder="1" applyAlignment="1">
      <alignment horizontal="center" vertical="center"/>
    </xf>
    <xf numFmtId="167" fontId="21" fillId="5" borderId="13" xfId="0" applyNumberFormat="1" applyFont="1" applyFill="1" applyBorder="1" applyAlignment="1">
      <alignment horizontal="center" vertical="center"/>
    </xf>
    <xf numFmtId="0" fontId="22" fillId="2" borderId="11" xfId="0" applyFont="1" applyFill="1" applyBorder="1" applyAlignment="1">
      <alignment horizontal="center" vertical="center" shrinkToFit="1"/>
    </xf>
    <xf numFmtId="0" fontId="22" fillId="2" borderId="9" xfId="0" applyFont="1" applyFill="1" applyBorder="1" applyAlignment="1">
      <alignment horizontal="center" vertical="center" shrinkToFit="1"/>
    </xf>
    <xf numFmtId="0" fontId="22" fillId="2" borderId="10" xfId="0" applyFont="1" applyFill="1" applyBorder="1" applyAlignment="1">
      <alignment horizontal="center" vertical="center" shrinkToFit="1"/>
    </xf>
    <xf numFmtId="0" fontId="4" fillId="0" borderId="3" xfId="0" applyFont="1" applyBorder="1" applyAlignment="1">
      <alignment vertical="center"/>
    </xf>
    <xf numFmtId="0" fontId="4" fillId="0" borderId="7" xfId="0" applyFont="1" applyBorder="1" applyAlignment="1">
      <alignment vertical="center"/>
    </xf>
    <xf numFmtId="0" fontId="4" fillId="0" borderId="0" xfId="0" applyFont="1" applyAlignment="1">
      <alignment vertical="center"/>
    </xf>
    <xf numFmtId="0" fontId="4" fillId="0" borderId="4" xfId="0" applyFont="1" applyBorder="1" applyAlignment="1">
      <alignment vertical="center"/>
    </xf>
    <xf numFmtId="0" fontId="4" fillId="0" borderId="4" xfId="0" applyFont="1" applyBorder="1" applyAlignment="1">
      <alignment horizontal="right" vertical="center"/>
    </xf>
    <xf numFmtId="0" fontId="4" fillId="0" borderId="6" xfId="0" applyFont="1" applyBorder="1" applyAlignment="1">
      <alignment vertical="center"/>
    </xf>
    <xf numFmtId="0" fontId="4" fillId="0" borderId="5" xfId="0" applyFont="1" applyBorder="1" applyAlignment="1">
      <alignment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29" fillId="0" borderId="0" xfId="0" applyFont="1" applyAlignment="1">
      <alignment horizontal="left" vertical="top" wrapText="1" indent="1"/>
    </xf>
    <xf numFmtId="0" fontId="0" fillId="0" borderId="0" xfId="0" applyAlignment="1">
      <alignment horizontal="left" vertical="top" wrapText="1" indent="1"/>
    </xf>
    <xf numFmtId="0" fontId="30" fillId="0" borderId="0" xfId="1" applyFont="1" applyAlignment="1" applyProtection="1">
      <alignment horizontal="left" vertical="top" indent="1"/>
    </xf>
    <xf numFmtId="0" fontId="1" fillId="0" borderId="0" xfId="0" applyFont="1" applyAlignment="1">
      <alignment horizontal="left" vertical="top" indent="1"/>
    </xf>
    <xf numFmtId="0" fontId="4" fillId="0" borderId="16" xfId="0" applyFont="1" applyBorder="1" applyAlignment="1">
      <alignment vertical="center"/>
    </xf>
    <xf numFmtId="0" fontId="4" fillId="0" borderId="17" xfId="0" applyFont="1" applyBorder="1" applyAlignment="1">
      <alignment vertical="center"/>
    </xf>
    <xf numFmtId="0" fontId="13" fillId="0" borderId="15" xfId="3" applyBorder="1" applyAlignment="1">
      <alignment wrapText="1"/>
    </xf>
    <xf numFmtId="0" fontId="13" fillId="0" borderId="15" xfId="3" applyBorder="1"/>
    <xf numFmtId="0" fontId="19" fillId="0" borderId="15" xfId="0" applyFont="1" applyBorder="1"/>
    <xf numFmtId="0" fontId="19" fillId="0" borderId="15" xfId="0" applyFont="1" applyBorder="1" applyAlignment="1">
      <alignment wrapText="1"/>
    </xf>
    <xf numFmtId="0" fontId="4" fillId="0" borderId="15" xfId="0" applyFont="1" applyBorder="1"/>
    <xf numFmtId="0" fontId="23" fillId="3" borderId="15" xfId="0" applyFont="1" applyFill="1" applyBorder="1" applyAlignment="1">
      <alignment horizontal="left" vertical="center" indent="1"/>
    </xf>
    <xf numFmtId="0" fontId="19" fillId="3" borderId="15" xfId="11" applyFont="1" applyFill="1" applyBorder="1" applyAlignment="1">
      <alignment vertical="center"/>
    </xf>
    <xf numFmtId="9" fontId="1" fillId="3" borderId="15" xfId="2" applyFont="1" applyFill="1" applyBorder="1" applyAlignment="1">
      <alignment horizontal="center" vertical="center"/>
    </xf>
    <xf numFmtId="164" fontId="19" fillId="3" borderId="15" xfId="0" applyNumberFormat="1" applyFont="1" applyFill="1" applyBorder="1" applyAlignment="1">
      <alignment horizontal="center" vertical="center"/>
    </xf>
    <xf numFmtId="164" fontId="1" fillId="3" borderId="15" xfId="0" applyNumberFormat="1" applyFont="1" applyFill="1" applyBorder="1" applyAlignment="1">
      <alignment horizontal="center" vertical="center"/>
    </xf>
    <xf numFmtId="0" fontId="3" fillId="0" borderId="15" xfId="0" applyFont="1" applyBorder="1" applyAlignment="1">
      <alignment horizontal="center" vertical="center"/>
    </xf>
    <xf numFmtId="0" fontId="19" fillId="0" borderId="15" xfId="12" applyFont="1" applyBorder="1">
      <alignment horizontal="left" vertical="center" indent="2"/>
    </xf>
    <xf numFmtId="0" fontId="19" fillId="0" borderId="15" xfId="11" applyFont="1" applyBorder="1" applyAlignment="1">
      <alignment vertical="center"/>
    </xf>
    <xf numFmtId="9" fontId="1" fillId="0" borderId="15" xfId="2" applyFont="1" applyBorder="1" applyAlignment="1">
      <alignment horizontal="center" vertical="center"/>
    </xf>
    <xf numFmtId="164" fontId="19" fillId="0" borderId="15" xfId="10" applyFont="1" applyBorder="1">
      <alignment horizontal="center" vertical="center"/>
    </xf>
    <xf numFmtId="0" fontId="24" fillId="2" borderId="15" xfId="0" applyFont="1" applyFill="1" applyBorder="1" applyAlignment="1">
      <alignment horizontal="left" vertical="center" indent="1"/>
    </xf>
    <xf numFmtId="0" fontId="24" fillId="2" borderId="15" xfId="0" applyFont="1" applyFill="1" applyBorder="1" applyAlignment="1">
      <alignment vertical="center"/>
    </xf>
    <xf numFmtId="9" fontId="1" fillId="2" borderId="15" xfId="2" applyFont="1" applyFill="1" applyBorder="1" applyAlignment="1">
      <alignment horizontal="center" vertical="center"/>
    </xf>
    <xf numFmtId="164" fontId="25" fillId="2" borderId="15" xfId="0" applyNumberFormat="1" applyFont="1" applyFill="1" applyBorder="1" applyAlignment="1">
      <alignment horizontal="left" vertical="center"/>
    </xf>
    <xf numFmtId="164" fontId="1" fillId="2" borderId="15" xfId="0" applyNumberFormat="1" applyFont="1" applyFill="1" applyBorder="1" applyAlignment="1">
      <alignment horizontal="center" vertical="center"/>
    </xf>
    <xf numFmtId="0" fontId="3" fillId="2" borderId="15" xfId="0" applyFont="1" applyFill="1" applyBorder="1" applyAlignment="1">
      <alignment horizontal="center" vertical="center"/>
    </xf>
    <xf numFmtId="0" fontId="0" fillId="0" borderId="15" xfId="0" applyBorder="1"/>
    <xf numFmtId="0" fontId="0" fillId="0" borderId="15" xfId="0" applyBorder="1" applyAlignment="1">
      <alignment horizontal="center"/>
    </xf>
    <xf numFmtId="0" fontId="7" fillId="0" borderId="15" xfId="0" applyFont="1" applyBorder="1"/>
    <xf numFmtId="0" fontId="13" fillId="0" borderId="15" xfId="0" applyFont="1" applyBorder="1" applyAlignment="1">
      <alignment horizontal="center"/>
    </xf>
    <xf numFmtId="0" fontId="8" fillId="0" borderId="15" xfId="1" applyFont="1" applyBorder="1" applyAlignment="1" applyProtection="1"/>
    <xf numFmtId="0" fontId="23" fillId="6" borderId="15" xfId="0" applyFont="1" applyFill="1" applyBorder="1" applyAlignment="1">
      <alignment horizontal="left" vertical="top"/>
    </xf>
    <xf numFmtId="0" fontId="31" fillId="0" borderId="15" xfId="0" applyFont="1" applyBorder="1"/>
    <xf numFmtId="0" fontId="23" fillId="7" borderId="15" xfId="0" applyFont="1" applyFill="1" applyBorder="1" applyAlignment="1">
      <alignment horizontal="left" vertical="top"/>
    </xf>
    <xf numFmtId="0" fontId="23" fillId="0" borderId="15" xfId="0" applyFont="1" applyBorder="1"/>
    <xf numFmtId="0" fontId="0" fillId="0" borderId="15" xfId="0" applyBorder="1" applyAlignment="1">
      <alignment horizontal="left" vertical="top"/>
    </xf>
    <xf numFmtId="0" fontId="32" fillId="8" borderId="15" xfId="0" applyFont="1" applyFill="1" applyBorder="1" applyAlignment="1">
      <alignment horizontal="center" vertical="center" wrapText="1"/>
    </xf>
    <xf numFmtId="0" fontId="0" fillId="0" borderId="18" xfId="0" applyBorder="1" applyAlignment="1">
      <alignment horizontal="left" vertical="top"/>
    </xf>
    <xf numFmtId="0" fontId="23" fillId="6" borderId="18" xfId="0" applyFont="1" applyFill="1" applyBorder="1" applyAlignment="1">
      <alignment horizontal="left" vertical="center" indent="1"/>
    </xf>
    <xf numFmtId="0" fontId="0" fillId="7" borderId="15" xfId="0" applyFill="1" applyBorder="1" applyAlignment="1">
      <alignment horizontal="left" vertical="center" indent="1"/>
    </xf>
    <xf numFmtId="0" fontId="0" fillId="0" borderId="15" xfId="0" applyBorder="1" applyAlignment="1">
      <alignment horizontal="left" vertical="center" indent="1"/>
    </xf>
    <xf numFmtId="0" fontId="23" fillId="6" borderId="15" xfId="0" applyFont="1" applyFill="1" applyBorder="1" applyAlignment="1">
      <alignment horizontal="left" vertical="center" indent="1"/>
    </xf>
    <xf numFmtId="9" fontId="33" fillId="0" borderId="15" xfId="2" applyFont="1" applyBorder="1" applyAlignment="1">
      <alignment horizontal="right" vertical="center" indent="1"/>
    </xf>
    <xf numFmtId="9" fontId="33" fillId="7" borderId="15" xfId="2" applyFont="1" applyFill="1" applyBorder="1" applyAlignment="1">
      <alignment horizontal="right" vertical="center" indent="1"/>
    </xf>
    <xf numFmtId="9" fontId="34" fillId="6" borderId="15" xfId="2" applyFont="1" applyFill="1" applyBorder="1" applyAlignment="1">
      <alignment horizontal="right" vertical="center" indent="1"/>
    </xf>
    <xf numFmtId="9" fontId="34" fillId="6" borderId="18" xfId="2" applyFont="1" applyFill="1" applyBorder="1" applyAlignment="1">
      <alignment horizontal="right" vertical="center" indent="1"/>
    </xf>
    <xf numFmtId="14" fontId="34" fillId="6" borderId="15" xfId="0" applyNumberFormat="1" applyFont="1" applyFill="1" applyBorder="1" applyAlignment="1">
      <alignment horizontal="center" vertical="center"/>
    </xf>
    <xf numFmtId="14" fontId="33" fillId="0" borderId="15" xfId="0" applyNumberFormat="1" applyFont="1" applyBorder="1" applyAlignment="1">
      <alignment horizontal="center" vertical="center"/>
    </xf>
    <xf numFmtId="14" fontId="33" fillId="7" borderId="15" xfId="0" applyNumberFormat="1" applyFont="1" applyFill="1" applyBorder="1" applyAlignment="1">
      <alignment horizontal="center" vertical="center"/>
    </xf>
    <xf numFmtId="14" fontId="35" fillId="6" borderId="15" xfId="0" applyNumberFormat="1" applyFont="1" applyFill="1" applyBorder="1" applyAlignment="1">
      <alignment horizontal="center" vertical="center"/>
    </xf>
    <xf numFmtId="14" fontId="34" fillId="6" borderId="18" xfId="0" applyNumberFormat="1" applyFont="1" applyFill="1" applyBorder="1" applyAlignment="1">
      <alignment horizontal="center" vertical="center"/>
    </xf>
    <xf numFmtId="9" fontId="35" fillId="6" borderId="15" xfId="2" applyFont="1" applyFill="1" applyBorder="1" applyAlignment="1">
      <alignment horizontal="right" vertical="center" indent="1"/>
    </xf>
    <xf numFmtId="0" fontId="4" fillId="9" borderId="17" xfId="0" applyFont="1" applyFill="1" applyBorder="1" applyAlignment="1">
      <alignment vertical="center"/>
    </xf>
    <xf numFmtId="0" fontId="4" fillId="9" borderId="4" xfId="0" applyFont="1" applyFill="1" applyBorder="1" applyAlignment="1">
      <alignment vertical="center"/>
    </xf>
    <xf numFmtId="0" fontId="36" fillId="0" borderId="0" xfId="0" applyFont="1"/>
    <xf numFmtId="0" fontId="23" fillId="0" borderId="15" xfId="0" applyFont="1" applyBorder="1" applyAlignment="1">
      <alignment horizontal="left" vertical="center" indent="1"/>
    </xf>
    <xf numFmtId="0" fontId="37" fillId="0" borderId="0" xfId="5" applyFont="1" applyAlignment="1">
      <alignment horizontal="left"/>
    </xf>
    <xf numFmtId="0" fontId="13" fillId="0" borderId="15" xfId="3" applyBorder="1" applyAlignment="1">
      <alignment wrapText="1"/>
    </xf>
    <xf numFmtId="0" fontId="20" fillId="4" borderId="15" xfId="0" applyFont="1" applyFill="1" applyBorder="1" applyAlignment="1">
      <alignment horizontal="left" vertical="center" indent="1"/>
    </xf>
    <xf numFmtId="0" fontId="4" fillId="2" borderId="15" xfId="0" applyFont="1" applyFill="1" applyBorder="1" applyAlignment="1">
      <alignment horizontal="left" indent="1"/>
    </xf>
    <xf numFmtId="0" fontId="20" fillId="4" borderId="15" xfId="0" applyFont="1" applyFill="1" applyBorder="1" applyAlignment="1">
      <alignment vertical="center"/>
    </xf>
    <xf numFmtId="0" fontId="4" fillId="2" borderId="15" xfId="0" applyFont="1" applyFill="1" applyBorder="1"/>
    <xf numFmtId="0" fontId="20" fillId="4" borderId="15" xfId="0" applyFont="1" applyFill="1" applyBorder="1" applyAlignment="1">
      <alignment horizontal="center" vertical="center"/>
    </xf>
    <xf numFmtId="0" fontId="27" fillId="0" borderId="0" xfId="0" applyFont="1" applyAlignment="1">
      <alignment horizontal="left"/>
    </xf>
    <xf numFmtId="0" fontId="28" fillId="0" borderId="0" xfId="0" applyFont="1"/>
    <xf numFmtId="165" fontId="27" fillId="0" borderId="0" xfId="9" applyFont="1" applyBorder="1" applyAlignment="1">
      <alignment horizontal="left"/>
    </xf>
    <xf numFmtId="0" fontId="26" fillId="0" borderId="0" xfId="8" applyFont="1" applyAlignment="1">
      <alignment horizontal="left"/>
    </xf>
    <xf numFmtId="0" fontId="4" fillId="0" borderId="0" xfId="0" applyFont="1"/>
    <xf numFmtId="166" fontId="19" fillId="2" borderId="8" xfId="0" applyNumberFormat="1" applyFont="1" applyFill="1" applyBorder="1" applyAlignment="1">
      <alignment horizontal="center" vertical="center" wrapText="1"/>
    </xf>
    <xf numFmtId="166" fontId="19" fillId="2" borderId="13" xfId="0" applyNumberFormat="1" applyFont="1" applyFill="1" applyBorder="1" applyAlignment="1">
      <alignment horizontal="center" vertical="center" wrapText="1"/>
    </xf>
    <xf numFmtId="166" fontId="19" fillId="2" borderId="12" xfId="0" applyNumberFormat="1"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K165"/>
  <sheetViews>
    <sheetView showGridLines="0" tabSelected="1" showRuler="0" topLeftCell="A25" zoomScaleNormal="100" zoomScalePageLayoutView="70" workbookViewId="0">
      <selection activeCell="P3" sqref="P3"/>
    </sheetView>
  </sheetViews>
  <sheetFormatPr defaultColWidth="8.6640625" defaultRowHeight="30" customHeight="1" x14ac:dyDescent="0.3"/>
  <cols>
    <col min="1" max="1" width="6.75" style="9" customWidth="1"/>
    <col min="2" max="2" width="31.6640625" customWidth="1"/>
    <col min="3" max="3" width="16.6640625" customWidth="1"/>
    <col min="4" max="4" width="10.6640625" customWidth="1"/>
    <col min="5" max="5" width="10.6640625" style="2" customWidth="1"/>
    <col min="6" max="6" width="10.6640625" customWidth="1"/>
    <col min="7" max="7" width="14.9140625" customWidth="1"/>
    <col min="8" max="64" width="2.6640625" customWidth="1"/>
  </cols>
  <sheetData>
    <row r="1" spans="1:63" ht="90" customHeight="1" x14ac:dyDescent="1.2">
      <c r="A1" s="10"/>
      <c r="B1" s="100" t="s">
        <v>279</v>
      </c>
      <c r="C1" s="11"/>
      <c r="D1" s="12"/>
      <c r="E1" s="13"/>
      <c r="F1" s="14"/>
      <c r="G1" s="1"/>
      <c r="H1" s="110" t="s">
        <v>21</v>
      </c>
      <c r="I1" s="111"/>
      <c r="J1" s="111"/>
      <c r="K1" s="111"/>
      <c r="L1" s="111"/>
      <c r="M1" s="111"/>
      <c r="N1" s="111"/>
      <c r="O1" s="17"/>
      <c r="P1" s="109">
        <v>45754</v>
      </c>
      <c r="Q1" s="108"/>
      <c r="R1" s="108"/>
      <c r="S1" s="108"/>
      <c r="T1" s="108"/>
      <c r="U1" s="108"/>
      <c r="V1" s="108"/>
      <c r="W1" s="108"/>
      <c r="X1" s="108"/>
      <c r="Y1" s="108"/>
    </row>
    <row r="2" spans="1:63" ht="30" customHeight="1" x14ac:dyDescent="0.7">
      <c r="B2" s="38" t="s">
        <v>25</v>
      </c>
      <c r="C2" s="39" t="s">
        <v>24</v>
      </c>
      <c r="D2" s="15"/>
      <c r="E2" s="16"/>
      <c r="F2" s="15"/>
      <c r="H2" s="110" t="s">
        <v>22</v>
      </c>
      <c r="I2" s="111"/>
      <c r="J2" s="111"/>
      <c r="K2" s="111"/>
      <c r="L2" s="111"/>
      <c r="M2" s="111"/>
      <c r="N2" s="111"/>
      <c r="O2" s="17"/>
      <c r="P2" s="107">
        <v>1</v>
      </c>
      <c r="Q2" s="108"/>
      <c r="R2" s="108"/>
      <c r="S2" s="108"/>
      <c r="T2" s="108"/>
      <c r="U2" s="108"/>
      <c r="V2" s="108"/>
      <c r="W2" s="108"/>
      <c r="X2" s="108"/>
      <c r="Y2" s="108"/>
    </row>
    <row r="3" spans="1:63" s="19" customFormat="1" ht="30" customHeight="1" x14ac:dyDescent="0.3">
      <c r="A3" s="9"/>
      <c r="B3" s="18" t="s">
        <v>26</v>
      </c>
      <c r="D3" s="20"/>
      <c r="E3" s="21"/>
    </row>
    <row r="4" spans="1:63" s="19" customFormat="1" ht="30" customHeight="1" x14ac:dyDescent="0.3">
      <c r="A4" s="10"/>
      <c r="B4" s="22"/>
      <c r="E4" s="23"/>
      <c r="H4" s="114">
        <f>H5</f>
        <v>45754</v>
      </c>
      <c r="I4" s="112"/>
      <c r="J4" s="112"/>
      <c r="K4" s="112"/>
      <c r="L4" s="112"/>
      <c r="M4" s="112"/>
      <c r="N4" s="112"/>
      <c r="O4" s="112">
        <f>O5</f>
        <v>45761</v>
      </c>
      <c r="P4" s="112"/>
      <c r="Q4" s="112"/>
      <c r="R4" s="112"/>
      <c r="S4" s="112"/>
      <c r="T4" s="112"/>
      <c r="U4" s="112"/>
      <c r="V4" s="112">
        <f>V5</f>
        <v>45768</v>
      </c>
      <c r="W4" s="112"/>
      <c r="X4" s="112"/>
      <c r="Y4" s="112"/>
      <c r="Z4" s="112"/>
      <c r="AA4" s="112"/>
      <c r="AB4" s="112"/>
      <c r="AC4" s="112">
        <f>AC5</f>
        <v>45775</v>
      </c>
      <c r="AD4" s="112"/>
      <c r="AE4" s="112"/>
      <c r="AF4" s="112"/>
      <c r="AG4" s="112"/>
      <c r="AH4" s="112"/>
      <c r="AI4" s="112"/>
      <c r="AJ4" s="112">
        <f>AJ5</f>
        <v>45782</v>
      </c>
      <c r="AK4" s="112"/>
      <c r="AL4" s="112"/>
      <c r="AM4" s="112"/>
      <c r="AN4" s="112"/>
      <c r="AO4" s="112"/>
      <c r="AP4" s="112"/>
      <c r="AQ4" s="112">
        <f>AQ5</f>
        <v>45789</v>
      </c>
      <c r="AR4" s="112"/>
      <c r="AS4" s="112"/>
      <c r="AT4" s="112"/>
      <c r="AU4" s="112"/>
      <c r="AV4" s="112"/>
      <c r="AW4" s="112"/>
      <c r="AX4" s="112">
        <f>AX5</f>
        <v>45796</v>
      </c>
      <c r="AY4" s="112"/>
      <c r="AZ4" s="112"/>
      <c r="BA4" s="112"/>
      <c r="BB4" s="112"/>
      <c r="BC4" s="112"/>
      <c r="BD4" s="112"/>
      <c r="BE4" s="112">
        <f>BE5</f>
        <v>45803</v>
      </c>
      <c r="BF4" s="112"/>
      <c r="BG4" s="112"/>
      <c r="BH4" s="112"/>
      <c r="BI4" s="112"/>
      <c r="BJ4" s="112"/>
      <c r="BK4" s="113"/>
    </row>
    <row r="5" spans="1:63" s="19" customFormat="1" ht="15" customHeight="1" x14ac:dyDescent="0.3">
      <c r="A5" s="101" t="s">
        <v>27</v>
      </c>
      <c r="B5" s="102" t="s">
        <v>5</v>
      </c>
      <c r="C5" s="104" t="s">
        <v>23</v>
      </c>
      <c r="D5" s="106" t="s">
        <v>1</v>
      </c>
      <c r="E5" s="106" t="s">
        <v>3</v>
      </c>
      <c r="F5" s="106" t="s">
        <v>4</v>
      </c>
      <c r="G5" s="106" t="s">
        <v>28</v>
      </c>
      <c r="H5" s="24">
        <f>Project_Start-WEEKDAY(Project_Start,1)+2+7*(Display_Week-1)</f>
        <v>45754</v>
      </c>
      <c r="I5" s="24">
        <f>H5+1</f>
        <v>45755</v>
      </c>
      <c r="J5" s="24">
        <f t="shared" ref="J5:AW5" si="0">I5+1</f>
        <v>45756</v>
      </c>
      <c r="K5" s="24">
        <f t="shared" si="0"/>
        <v>45757</v>
      </c>
      <c r="L5" s="24">
        <f t="shared" si="0"/>
        <v>45758</v>
      </c>
      <c r="M5" s="24">
        <f t="shared" si="0"/>
        <v>45759</v>
      </c>
      <c r="N5" s="25">
        <f t="shared" si="0"/>
        <v>45760</v>
      </c>
      <c r="O5" s="26">
        <f>N5+1</f>
        <v>45761</v>
      </c>
      <c r="P5" s="24">
        <f>O5+1</f>
        <v>45762</v>
      </c>
      <c r="Q5" s="24">
        <f t="shared" si="0"/>
        <v>45763</v>
      </c>
      <c r="R5" s="24">
        <f t="shared" si="0"/>
        <v>45764</v>
      </c>
      <c r="S5" s="24">
        <f t="shared" si="0"/>
        <v>45765</v>
      </c>
      <c r="T5" s="24">
        <f t="shared" si="0"/>
        <v>45766</v>
      </c>
      <c r="U5" s="25">
        <f t="shared" si="0"/>
        <v>45767</v>
      </c>
      <c r="V5" s="26">
        <f>U5+1</f>
        <v>45768</v>
      </c>
      <c r="W5" s="24">
        <f>V5+1</f>
        <v>45769</v>
      </c>
      <c r="X5" s="24">
        <f t="shared" si="0"/>
        <v>45770</v>
      </c>
      <c r="Y5" s="24">
        <f t="shared" si="0"/>
        <v>45771</v>
      </c>
      <c r="Z5" s="24">
        <f t="shared" si="0"/>
        <v>45772</v>
      </c>
      <c r="AA5" s="24">
        <f t="shared" si="0"/>
        <v>45773</v>
      </c>
      <c r="AB5" s="25">
        <f t="shared" si="0"/>
        <v>45774</v>
      </c>
      <c r="AC5" s="26">
        <f>AB5+1</f>
        <v>45775</v>
      </c>
      <c r="AD5" s="24">
        <f>AC5+1</f>
        <v>45776</v>
      </c>
      <c r="AE5" s="24">
        <f t="shared" si="0"/>
        <v>45777</v>
      </c>
      <c r="AF5" s="24">
        <f t="shared" si="0"/>
        <v>45778</v>
      </c>
      <c r="AG5" s="24">
        <f t="shared" si="0"/>
        <v>45779</v>
      </c>
      <c r="AH5" s="24">
        <f t="shared" si="0"/>
        <v>45780</v>
      </c>
      <c r="AI5" s="25">
        <f t="shared" si="0"/>
        <v>45781</v>
      </c>
      <c r="AJ5" s="26">
        <f>AI5+1</f>
        <v>45782</v>
      </c>
      <c r="AK5" s="24">
        <f>AJ5+1</f>
        <v>45783</v>
      </c>
      <c r="AL5" s="24">
        <f t="shared" si="0"/>
        <v>45784</v>
      </c>
      <c r="AM5" s="24">
        <f t="shared" si="0"/>
        <v>45785</v>
      </c>
      <c r="AN5" s="24">
        <f t="shared" si="0"/>
        <v>45786</v>
      </c>
      <c r="AO5" s="24">
        <f t="shared" si="0"/>
        <v>45787</v>
      </c>
      <c r="AP5" s="25">
        <f t="shared" si="0"/>
        <v>45788</v>
      </c>
      <c r="AQ5" s="26">
        <f>AP5+1</f>
        <v>45789</v>
      </c>
      <c r="AR5" s="24">
        <f>AQ5+1</f>
        <v>45790</v>
      </c>
      <c r="AS5" s="24">
        <f t="shared" si="0"/>
        <v>45791</v>
      </c>
      <c r="AT5" s="24">
        <f t="shared" si="0"/>
        <v>45792</v>
      </c>
      <c r="AU5" s="24">
        <f t="shared" si="0"/>
        <v>45793</v>
      </c>
      <c r="AV5" s="24">
        <f t="shared" si="0"/>
        <v>45794</v>
      </c>
      <c r="AW5" s="25">
        <f t="shared" si="0"/>
        <v>45795</v>
      </c>
      <c r="AX5" s="26">
        <f>AW5+1</f>
        <v>45796</v>
      </c>
      <c r="AY5" s="24">
        <f>AX5+1</f>
        <v>45797</v>
      </c>
      <c r="AZ5" s="24">
        <f t="shared" ref="AZ5:BD5" si="1">AY5+1</f>
        <v>45798</v>
      </c>
      <c r="BA5" s="24">
        <f t="shared" si="1"/>
        <v>45799</v>
      </c>
      <c r="BB5" s="24">
        <f t="shared" si="1"/>
        <v>45800</v>
      </c>
      <c r="BC5" s="24">
        <f t="shared" si="1"/>
        <v>45801</v>
      </c>
      <c r="BD5" s="25">
        <f t="shared" si="1"/>
        <v>45802</v>
      </c>
      <c r="BE5" s="26">
        <f>BD5+1</f>
        <v>45803</v>
      </c>
      <c r="BF5" s="24">
        <f>BE5+1</f>
        <v>45804</v>
      </c>
      <c r="BG5" s="24">
        <f t="shared" ref="BG5:BK5" si="2">BF5+1</f>
        <v>45805</v>
      </c>
      <c r="BH5" s="24">
        <f t="shared" si="2"/>
        <v>45806</v>
      </c>
      <c r="BI5" s="24">
        <f t="shared" si="2"/>
        <v>45807</v>
      </c>
      <c r="BJ5" s="24">
        <f t="shared" si="2"/>
        <v>45808</v>
      </c>
      <c r="BK5" s="24">
        <f t="shared" si="2"/>
        <v>45809</v>
      </c>
    </row>
    <row r="6" spans="1:63" s="19" customFormat="1" ht="15" customHeight="1" x14ac:dyDescent="0.3">
      <c r="A6" s="101"/>
      <c r="B6" s="103"/>
      <c r="C6" s="105"/>
      <c r="D6" s="105"/>
      <c r="E6" s="105"/>
      <c r="F6" s="105"/>
      <c r="G6" s="105"/>
      <c r="H6" s="27" t="str">
        <f t="shared" ref="H6:AM6" si="3">LEFT(TEXT(H5,"ddd"),1)</f>
        <v>M</v>
      </c>
      <c r="I6" s="28" t="str">
        <f t="shared" si="3"/>
        <v>T</v>
      </c>
      <c r="J6" s="28" t="str">
        <f t="shared" si="3"/>
        <v>W</v>
      </c>
      <c r="K6" s="28" t="str">
        <f t="shared" si="3"/>
        <v>T</v>
      </c>
      <c r="L6" s="28" t="str">
        <f t="shared" si="3"/>
        <v>F</v>
      </c>
      <c r="M6" s="28" t="str">
        <f t="shared" si="3"/>
        <v>S</v>
      </c>
      <c r="N6" s="28" t="str">
        <f t="shared" si="3"/>
        <v>S</v>
      </c>
      <c r="O6" s="28" t="str">
        <f t="shared" si="3"/>
        <v>M</v>
      </c>
      <c r="P6" s="28" t="str">
        <f t="shared" si="3"/>
        <v>T</v>
      </c>
      <c r="Q6" s="28" t="str">
        <f t="shared" si="3"/>
        <v>W</v>
      </c>
      <c r="R6" s="28" t="str">
        <f t="shared" si="3"/>
        <v>T</v>
      </c>
      <c r="S6" s="28" t="str">
        <f t="shared" si="3"/>
        <v>F</v>
      </c>
      <c r="T6" s="28" t="str">
        <f t="shared" si="3"/>
        <v>S</v>
      </c>
      <c r="U6" s="28" t="str">
        <f t="shared" si="3"/>
        <v>S</v>
      </c>
      <c r="V6" s="28" t="str">
        <f t="shared" si="3"/>
        <v>M</v>
      </c>
      <c r="W6" s="28" t="str">
        <f t="shared" si="3"/>
        <v>T</v>
      </c>
      <c r="X6" s="28" t="str">
        <f t="shared" si="3"/>
        <v>W</v>
      </c>
      <c r="Y6" s="28" t="str">
        <f t="shared" si="3"/>
        <v>T</v>
      </c>
      <c r="Z6" s="28" t="str">
        <f t="shared" si="3"/>
        <v>F</v>
      </c>
      <c r="AA6" s="28" t="str">
        <f t="shared" si="3"/>
        <v>S</v>
      </c>
      <c r="AB6" s="28" t="str">
        <f t="shared" si="3"/>
        <v>S</v>
      </c>
      <c r="AC6" s="28" t="str">
        <f t="shared" si="3"/>
        <v>M</v>
      </c>
      <c r="AD6" s="28" t="str">
        <f t="shared" si="3"/>
        <v>T</v>
      </c>
      <c r="AE6" s="28" t="str">
        <f t="shared" si="3"/>
        <v>W</v>
      </c>
      <c r="AF6" s="28" t="str">
        <f t="shared" si="3"/>
        <v>T</v>
      </c>
      <c r="AG6" s="28" t="str">
        <f t="shared" si="3"/>
        <v>F</v>
      </c>
      <c r="AH6" s="28" t="str">
        <f t="shared" si="3"/>
        <v>S</v>
      </c>
      <c r="AI6" s="28" t="str">
        <f t="shared" si="3"/>
        <v>S</v>
      </c>
      <c r="AJ6" s="28" t="str">
        <f t="shared" si="3"/>
        <v>M</v>
      </c>
      <c r="AK6" s="28" t="str">
        <f t="shared" si="3"/>
        <v>T</v>
      </c>
      <c r="AL6" s="28" t="str">
        <f t="shared" si="3"/>
        <v>W</v>
      </c>
      <c r="AM6" s="28" t="str">
        <f t="shared" si="3"/>
        <v>T</v>
      </c>
      <c r="AN6" s="28" t="str">
        <f t="shared" ref="AN6:BK6" si="4">LEFT(TEXT(AN5,"ddd"),1)</f>
        <v>F</v>
      </c>
      <c r="AO6" s="28" t="str">
        <f t="shared" si="4"/>
        <v>S</v>
      </c>
      <c r="AP6" s="28" t="str">
        <f t="shared" si="4"/>
        <v>S</v>
      </c>
      <c r="AQ6" s="28" t="str">
        <f t="shared" si="4"/>
        <v>M</v>
      </c>
      <c r="AR6" s="28" t="str">
        <f t="shared" si="4"/>
        <v>T</v>
      </c>
      <c r="AS6" s="28" t="str">
        <f t="shared" si="4"/>
        <v>W</v>
      </c>
      <c r="AT6" s="28" t="str">
        <f t="shared" si="4"/>
        <v>T</v>
      </c>
      <c r="AU6" s="28" t="str">
        <f t="shared" si="4"/>
        <v>F</v>
      </c>
      <c r="AV6" s="28" t="str">
        <f t="shared" si="4"/>
        <v>S</v>
      </c>
      <c r="AW6" s="28" t="str">
        <f t="shared" si="4"/>
        <v>S</v>
      </c>
      <c r="AX6" s="28" t="str">
        <f t="shared" si="4"/>
        <v>M</v>
      </c>
      <c r="AY6" s="28" t="str">
        <f t="shared" si="4"/>
        <v>T</v>
      </c>
      <c r="AZ6" s="28" t="str">
        <f t="shared" si="4"/>
        <v>W</v>
      </c>
      <c r="BA6" s="28" t="str">
        <f t="shared" si="4"/>
        <v>T</v>
      </c>
      <c r="BB6" s="28" t="str">
        <f t="shared" si="4"/>
        <v>F</v>
      </c>
      <c r="BC6" s="28" t="str">
        <f t="shared" si="4"/>
        <v>S</v>
      </c>
      <c r="BD6" s="28" t="str">
        <f t="shared" si="4"/>
        <v>S</v>
      </c>
      <c r="BE6" s="28" t="str">
        <f t="shared" si="4"/>
        <v>M</v>
      </c>
      <c r="BF6" s="28" t="str">
        <f t="shared" si="4"/>
        <v>T</v>
      </c>
      <c r="BG6" s="28" t="str">
        <f t="shared" si="4"/>
        <v>W</v>
      </c>
      <c r="BH6" s="28" t="str">
        <f t="shared" si="4"/>
        <v>T</v>
      </c>
      <c r="BI6" s="28" t="str">
        <f t="shared" si="4"/>
        <v>F</v>
      </c>
      <c r="BJ6" s="28" t="str">
        <f t="shared" si="4"/>
        <v>S</v>
      </c>
      <c r="BK6" s="29" t="str">
        <f t="shared" si="4"/>
        <v>S</v>
      </c>
    </row>
    <row r="7" spans="1:63" s="19" customFormat="1" ht="30" hidden="1" customHeight="1" thickBot="1" x14ac:dyDescent="0.3">
      <c r="A7" s="50" t="s">
        <v>19</v>
      </c>
      <c r="B7" s="51"/>
      <c r="C7" s="52"/>
      <c r="D7" s="51"/>
      <c r="E7" s="51"/>
      <c r="F7" s="51"/>
      <c r="G7" s="53" t="str">
        <f>IF(OR(ISBLANK(task_start),ISBLANK(task_end)),"",task_end-task_start+1)</f>
        <v/>
      </c>
      <c r="H7" s="47"/>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row>
    <row r="8" spans="1:63" s="32" customFormat="1" ht="30" customHeight="1" x14ac:dyDescent="0.3">
      <c r="A8" s="49"/>
      <c r="B8" s="54" t="s">
        <v>20</v>
      </c>
      <c r="C8" s="55"/>
      <c r="D8" s="56"/>
      <c r="E8" s="57"/>
      <c r="F8" s="58"/>
      <c r="G8" s="59" t="str">
        <f t="shared" ref="G8:G162" si="5">IF(OR(ISBLANK(task_start),ISBLANK(task_end)),"",task_end-task_start+1)</f>
        <v/>
      </c>
      <c r="H8" s="31"/>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row>
    <row r="9" spans="1:63" s="32" customFormat="1" ht="30" customHeight="1" x14ac:dyDescent="0.4">
      <c r="A9" s="75">
        <v>1</v>
      </c>
      <c r="B9" s="76" t="s">
        <v>29</v>
      </c>
      <c r="C9" s="70"/>
      <c r="H9" s="48"/>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row>
    <row r="10" spans="1:63" s="32" customFormat="1" ht="30" customHeight="1" x14ac:dyDescent="0.35">
      <c r="A10" s="77">
        <v>1.1000000000000001</v>
      </c>
      <c r="B10" s="78" t="s">
        <v>30</v>
      </c>
      <c r="C10" s="70" t="s">
        <v>262</v>
      </c>
      <c r="D10" s="86">
        <v>0.97</v>
      </c>
      <c r="E10" s="90">
        <v>45754</v>
      </c>
      <c r="F10" s="90">
        <v>45756</v>
      </c>
      <c r="G10" s="59">
        <f t="shared" ref="G10:G41" si="6">IF(OR(ISBLANK(task_start),ISBLANK(task_end)),"",task_end-task_start+1)</f>
        <v>3</v>
      </c>
      <c r="H10" s="96"/>
      <c r="I10" s="97"/>
      <c r="J10" s="97"/>
      <c r="K10" s="33"/>
      <c r="L10" s="33"/>
      <c r="M10" s="33"/>
      <c r="N10" s="33"/>
      <c r="O10" s="33"/>
      <c r="P10" s="33"/>
      <c r="Q10" s="33"/>
      <c r="R10" s="33"/>
      <c r="S10" s="33"/>
      <c r="T10" s="34"/>
      <c r="U10" s="34"/>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row>
    <row r="11" spans="1:63" s="32" customFormat="1" ht="30" customHeight="1" x14ac:dyDescent="0.3">
      <c r="A11" s="79" t="s">
        <v>31</v>
      </c>
      <c r="B11" s="70" t="s">
        <v>32</v>
      </c>
      <c r="C11" s="70" t="s">
        <v>262</v>
      </c>
      <c r="D11" s="87">
        <v>0.99</v>
      </c>
      <c r="E11" s="90">
        <v>45754</v>
      </c>
      <c r="F11" s="90">
        <v>45754</v>
      </c>
      <c r="G11" s="59">
        <f t="shared" si="6"/>
        <v>1</v>
      </c>
      <c r="H11" s="48"/>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row>
    <row r="12" spans="1:63" s="32" customFormat="1" ht="30" customHeight="1" x14ac:dyDescent="0.3">
      <c r="A12" s="79" t="s">
        <v>33</v>
      </c>
      <c r="B12" s="70" t="s">
        <v>34</v>
      </c>
      <c r="C12" s="70" t="s">
        <v>262</v>
      </c>
      <c r="D12" s="86">
        <v>0.94</v>
      </c>
      <c r="E12" s="90">
        <v>45754</v>
      </c>
      <c r="F12" s="91">
        <v>45755</v>
      </c>
      <c r="G12" s="59">
        <f t="shared" si="6"/>
        <v>2</v>
      </c>
      <c r="H12" s="48"/>
      <c r="I12" s="33"/>
      <c r="J12" s="33"/>
      <c r="K12" s="33"/>
      <c r="L12" s="33"/>
      <c r="M12" s="33"/>
      <c r="N12" s="33"/>
      <c r="O12" s="33"/>
      <c r="P12" s="33"/>
      <c r="Q12" s="33"/>
      <c r="R12" s="33"/>
      <c r="S12" s="33"/>
      <c r="T12" s="33"/>
      <c r="U12" s="33"/>
      <c r="V12" s="33"/>
      <c r="W12" s="33"/>
      <c r="X12" s="34"/>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row>
    <row r="13" spans="1:63" s="32" customFormat="1" ht="30" customHeight="1" x14ac:dyDescent="0.3">
      <c r="A13" s="77">
        <v>1.2</v>
      </c>
      <c r="B13" s="70" t="s">
        <v>35</v>
      </c>
      <c r="C13" s="70" t="s">
        <v>262</v>
      </c>
      <c r="D13" s="86">
        <v>0.98</v>
      </c>
      <c r="E13" s="92">
        <v>45756</v>
      </c>
      <c r="F13" s="92">
        <v>45757</v>
      </c>
      <c r="G13" s="59">
        <f t="shared" si="6"/>
        <v>2</v>
      </c>
      <c r="H13" s="48"/>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row>
    <row r="14" spans="1:63" s="32" customFormat="1" ht="30" customHeight="1" x14ac:dyDescent="0.3">
      <c r="A14" s="79" t="s">
        <v>36</v>
      </c>
      <c r="B14" s="70" t="s">
        <v>37</v>
      </c>
      <c r="C14" s="70" t="s">
        <v>262</v>
      </c>
      <c r="D14" s="87">
        <v>0.99</v>
      </c>
      <c r="E14" s="92">
        <v>45756</v>
      </c>
      <c r="F14" s="92">
        <v>45756</v>
      </c>
      <c r="G14" s="59">
        <f t="shared" si="6"/>
        <v>1</v>
      </c>
    </row>
    <row r="15" spans="1:63" s="32" customFormat="1" ht="30" customHeight="1" x14ac:dyDescent="0.3">
      <c r="A15" s="79" t="s">
        <v>38</v>
      </c>
      <c r="B15" s="70" t="s">
        <v>39</v>
      </c>
      <c r="C15" s="70" t="s">
        <v>262</v>
      </c>
      <c r="D15" s="86">
        <v>1</v>
      </c>
      <c r="E15" s="92">
        <v>45757</v>
      </c>
      <c r="F15" s="92">
        <v>45757</v>
      </c>
      <c r="G15" s="59">
        <f t="shared" si="6"/>
        <v>1</v>
      </c>
      <c r="H15" s="48"/>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row>
    <row r="16" spans="1:63" s="32" customFormat="1" ht="30" customHeight="1" x14ac:dyDescent="0.3">
      <c r="A16" s="77">
        <v>1.3</v>
      </c>
      <c r="B16" s="70" t="s">
        <v>40</v>
      </c>
      <c r="C16" s="70" t="s">
        <v>262</v>
      </c>
      <c r="D16" s="86">
        <v>1</v>
      </c>
      <c r="E16" s="91">
        <v>45758</v>
      </c>
      <c r="F16" s="91">
        <v>45761</v>
      </c>
      <c r="G16" s="59">
        <f t="shared" si="6"/>
        <v>4</v>
      </c>
      <c r="H16" s="48"/>
      <c r="I16" s="33"/>
      <c r="J16" s="33"/>
      <c r="K16" s="33"/>
      <c r="L16" s="33"/>
      <c r="M16" s="33"/>
      <c r="N16" s="33"/>
      <c r="O16" s="33"/>
      <c r="P16" s="33"/>
      <c r="Q16" s="33"/>
      <c r="R16" s="33"/>
      <c r="S16" s="33"/>
      <c r="T16" s="34"/>
      <c r="U16" s="34"/>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row>
    <row r="17" spans="1:63" s="32" customFormat="1" ht="30" customHeight="1" x14ac:dyDescent="0.3">
      <c r="A17" s="79" t="s">
        <v>41</v>
      </c>
      <c r="B17" s="70" t="s">
        <v>42</v>
      </c>
      <c r="C17" s="70" t="s">
        <v>262</v>
      </c>
      <c r="D17" s="86">
        <v>0.5</v>
      </c>
      <c r="E17" s="91">
        <v>45758</v>
      </c>
      <c r="F17" s="92">
        <v>45759</v>
      </c>
      <c r="G17" s="59">
        <f t="shared" si="6"/>
        <v>2</v>
      </c>
      <c r="H17" s="48"/>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row>
    <row r="18" spans="1:63" s="32" customFormat="1" ht="30" customHeight="1" x14ac:dyDescent="0.3">
      <c r="A18" s="79" t="s">
        <v>43</v>
      </c>
      <c r="B18" s="70" t="s">
        <v>44</v>
      </c>
      <c r="C18" s="70" t="s">
        <v>262</v>
      </c>
      <c r="D18" s="87">
        <v>0.5</v>
      </c>
      <c r="E18" s="91">
        <v>45759</v>
      </c>
      <c r="F18" s="91">
        <v>45761</v>
      </c>
      <c r="G18" s="59">
        <f t="shared" si="6"/>
        <v>3</v>
      </c>
      <c r="H18" s="48"/>
      <c r="I18" s="33"/>
      <c r="J18" s="33"/>
      <c r="K18" s="33"/>
      <c r="L18" s="33"/>
      <c r="M18" s="33"/>
      <c r="N18" s="33"/>
      <c r="O18" s="33"/>
      <c r="P18" s="33"/>
      <c r="Q18" s="33"/>
      <c r="R18" s="33"/>
      <c r="S18" s="33"/>
      <c r="T18" s="33"/>
      <c r="U18" s="33"/>
      <c r="V18" s="33"/>
      <c r="W18" s="33"/>
      <c r="X18" s="34"/>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row>
    <row r="19" spans="1:63" s="32" customFormat="1" ht="30" customHeight="1" x14ac:dyDescent="0.3">
      <c r="A19" s="79">
        <v>1.4</v>
      </c>
      <c r="B19" s="70" t="s">
        <v>45</v>
      </c>
      <c r="C19" s="70" t="s">
        <v>262</v>
      </c>
      <c r="D19" s="86">
        <v>0.5</v>
      </c>
      <c r="E19" s="91">
        <v>45762</v>
      </c>
      <c r="F19" s="91">
        <v>45765</v>
      </c>
      <c r="G19" s="59">
        <f t="shared" si="6"/>
        <v>4</v>
      </c>
      <c r="H19" s="48"/>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row>
    <row r="20" spans="1:63" s="32" customFormat="1" ht="30" customHeight="1" x14ac:dyDescent="0.3">
      <c r="A20" s="79" t="s">
        <v>46</v>
      </c>
      <c r="B20" s="70" t="s">
        <v>47</v>
      </c>
      <c r="C20" s="70" t="s">
        <v>262</v>
      </c>
      <c r="D20" s="86">
        <v>0.5</v>
      </c>
      <c r="E20" s="90">
        <v>45762</v>
      </c>
      <c r="F20" s="90">
        <v>45763</v>
      </c>
      <c r="G20" s="59">
        <f t="shared" si="6"/>
        <v>2</v>
      </c>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35"/>
      <c r="BK20" s="35"/>
    </row>
    <row r="21" spans="1:63" s="32" customFormat="1" ht="30" customHeight="1" x14ac:dyDescent="0.35">
      <c r="A21" s="79" t="s">
        <v>48</v>
      </c>
      <c r="B21" s="70" t="s">
        <v>49</v>
      </c>
      <c r="C21" s="98" t="s">
        <v>262</v>
      </c>
      <c r="D21" s="88">
        <v>0.5</v>
      </c>
      <c r="E21" s="92">
        <v>45763</v>
      </c>
      <c r="F21" s="92">
        <v>45764</v>
      </c>
      <c r="G21" s="59">
        <f t="shared" si="6"/>
        <v>2</v>
      </c>
      <c r="H21" s="48"/>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row>
    <row r="22" spans="1:63" s="32" customFormat="1" ht="30" customHeight="1" x14ac:dyDescent="0.3">
      <c r="A22" s="79">
        <v>1.5</v>
      </c>
      <c r="B22" s="70" t="s">
        <v>50</v>
      </c>
      <c r="C22" s="70" t="s">
        <v>263</v>
      </c>
      <c r="D22" s="87">
        <v>0</v>
      </c>
      <c r="E22" s="91">
        <v>45766</v>
      </c>
      <c r="F22" s="91">
        <v>45769</v>
      </c>
      <c r="G22" s="59">
        <f t="shared" si="6"/>
        <v>4</v>
      </c>
      <c r="H22" s="48"/>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row>
    <row r="23" spans="1:63" s="32" customFormat="1" ht="30" customHeight="1" x14ac:dyDescent="0.3">
      <c r="A23" s="79" t="s">
        <v>51</v>
      </c>
      <c r="B23" s="70" t="s">
        <v>52</v>
      </c>
      <c r="C23" s="70" t="s">
        <v>263</v>
      </c>
      <c r="D23" s="86">
        <v>0</v>
      </c>
      <c r="E23" s="91">
        <v>45766</v>
      </c>
      <c r="F23" s="91">
        <v>45767</v>
      </c>
      <c r="G23" s="59">
        <f t="shared" si="6"/>
        <v>2</v>
      </c>
      <c r="H23" s="48"/>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row>
    <row r="24" spans="1:63" s="32" customFormat="1" ht="30" customHeight="1" x14ac:dyDescent="0.3">
      <c r="A24" s="79" t="s">
        <v>53</v>
      </c>
      <c r="B24" s="70" t="s">
        <v>54</v>
      </c>
      <c r="C24" s="70" t="s">
        <v>263</v>
      </c>
      <c r="D24" s="86">
        <v>0</v>
      </c>
      <c r="E24" s="91">
        <v>45767</v>
      </c>
      <c r="F24" s="91">
        <v>45768</v>
      </c>
      <c r="G24" s="59">
        <f t="shared" si="6"/>
        <v>2</v>
      </c>
      <c r="H24" s="48"/>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row>
    <row r="25" spans="1:63" s="32" customFormat="1" ht="30" customHeight="1" x14ac:dyDescent="0.3">
      <c r="A25" s="79">
        <v>1.6</v>
      </c>
      <c r="B25" s="70" t="s">
        <v>55</v>
      </c>
      <c r="C25" s="70" t="s">
        <v>262</v>
      </c>
      <c r="D25" s="86">
        <v>0</v>
      </c>
      <c r="E25" s="90">
        <v>45770</v>
      </c>
      <c r="F25" s="90">
        <v>45773</v>
      </c>
      <c r="G25" s="59">
        <f t="shared" si="6"/>
        <v>4</v>
      </c>
      <c r="H25" s="48"/>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row>
    <row r="26" spans="1:63" s="32" customFormat="1" ht="30" customHeight="1" x14ac:dyDescent="0.3">
      <c r="A26" s="79" t="s">
        <v>56</v>
      </c>
      <c r="B26" s="70" t="s">
        <v>57</v>
      </c>
      <c r="C26" s="70" t="s">
        <v>262</v>
      </c>
      <c r="D26" s="88">
        <f>AVERAGE(D27:D51)</f>
        <v>0.1761904761904762</v>
      </c>
      <c r="E26" s="92">
        <v>45770</v>
      </c>
      <c r="F26" s="92">
        <v>45770</v>
      </c>
      <c r="G26" s="59">
        <f t="shared" si="6"/>
        <v>1</v>
      </c>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row>
    <row r="27" spans="1:63" s="32" customFormat="1" ht="30" customHeight="1" x14ac:dyDescent="0.3">
      <c r="A27" s="79" t="s">
        <v>58</v>
      </c>
      <c r="B27" s="70" t="s">
        <v>59</v>
      </c>
      <c r="C27" s="70" t="s">
        <v>262</v>
      </c>
      <c r="D27" s="87">
        <v>0</v>
      </c>
      <c r="E27" s="91">
        <v>45771</v>
      </c>
      <c r="F27" s="91">
        <v>45772</v>
      </c>
      <c r="G27" s="59">
        <f t="shared" si="6"/>
        <v>2</v>
      </c>
      <c r="H27" s="48"/>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row>
    <row r="28" spans="1:63" s="32" customFormat="1" ht="30" customHeight="1" x14ac:dyDescent="0.3">
      <c r="A28" s="79">
        <v>1.7</v>
      </c>
      <c r="B28" s="70" t="s">
        <v>60</v>
      </c>
      <c r="C28" s="70" t="s">
        <v>262</v>
      </c>
      <c r="D28" s="86">
        <v>0</v>
      </c>
      <c r="E28" s="91">
        <v>45774</v>
      </c>
      <c r="F28" s="91">
        <v>45778</v>
      </c>
      <c r="G28" s="59">
        <f t="shared" si="6"/>
        <v>5</v>
      </c>
      <c r="H28" s="48"/>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row>
    <row r="29" spans="1:63" s="32" customFormat="1" ht="30" customHeight="1" x14ac:dyDescent="0.3">
      <c r="A29" s="79" t="s">
        <v>61</v>
      </c>
      <c r="B29" s="70" t="s">
        <v>62</v>
      </c>
      <c r="C29" s="70" t="s">
        <v>262</v>
      </c>
      <c r="D29" s="86">
        <v>0</v>
      </c>
      <c r="E29" s="91">
        <v>45774</v>
      </c>
      <c r="F29" s="91">
        <v>45775</v>
      </c>
      <c r="G29" s="59">
        <f t="shared" si="6"/>
        <v>2</v>
      </c>
      <c r="H29" s="48"/>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row>
    <row r="30" spans="1:63" s="32" customFormat="1" ht="30" customHeight="1" x14ac:dyDescent="0.3">
      <c r="A30" s="79" t="s">
        <v>63</v>
      </c>
      <c r="B30" s="70" t="s">
        <v>64</v>
      </c>
      <c r="C30" s="70" t="s">
        <v>262</v>
      </c>
      <c r="D30" s="86">
        <v>0</v>
      </c>
      <c r="E30" s="91">
        <v>45775</v>
      </c>
      <c r="F30" s="91">
        <v>45776</v>
      </c>
      <c r="G30" s="59">
        <f t="shared" si="6"/>
        <v>2</v>
      </c>
      <c r="H30" s="48"/>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row>
    <row r="31" spans="1:63" s="32" customFormat="1" ht="30" customHeight="1" x14ac:dyDescent="0.3">
      <c r="A31" s="79"/>
      <c r="B31" s="70"/>
      <c r="C31" s="83"/>
      <c r="D31" s="87"/>
      <c r="E31" s="92"/>
      <c r="F31" s="92"/>
      <c r="G31" s="59" t="str">
        <f t="shared" si="6"/>
        <v/>
      </c>
      <c r="H31" s="48"/>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row>
    <row r="32" spans="1:63" s="32" customFormat="1" ht="30" customHeight="1" x14ac:dyDescent="0.4">
      <c r="A32" s="75">
        <v>2</v>
      </c>
      <c r="B32" s="76" t="s">
        <v>65</v>
      </c>
      <c r="C32" s="84"/>
      <c r="D32" s="86"/>
      <c r="E32" s="91"/>
      <c r="F32" s="91"/>
      <c r="G32" s="59" t="str">
        <f t="shared" si="6"/>
        <v/>
      </c>
      <c r="H32" s="48"/>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row>
    <row r="33" spans="1:63" s="32" customFormat="1" ht="30" customHeight="1" x14ac:dyDescent="0.3">
      <c r="A33" s="77">
        <v>2.1</v>
      </c>
      <c r="B33" s="70" t="s">
        <v>66</v>
      </c>
      <c r="C33" s="84" t="s">
        <v>264</v>
      </c>
      <c r="D33" s="86">
        <v>0.6</v>
      </c>
      <c r="E33" s="91">
        <v>45754</v>
      </c>
      <c r="F33" s="91">
        <v>45757</v>
      </c>
      <c r="G33" s="59">
        <f t="shared" si="6"/>
        <v>4</v>
      </c>
      <c r="H33" s="48"/>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row>
    <row r="34" spans="1:63" s="32" customFormat="1" ht="30" customHeight="1" x14ac:dyDescent="0.3">
      <c r="A34" s="79" t="s">
        <v>67</v>
      </c>
      <c r="B34" s="70" t="s">
        <v>68</v>
      </c>
      <c r="C34" s="84" t="s">
        <v>264</v>
      </c>
      <c r="D34" s="86">
        <v>1</v>
      </c>
      <c r="E34" s="91">
        <v>45754</v>
      </c>
      <c r="F34" s="91">
        <v>45755</v>
      </c>
      <c r="G34" s="59">
        <f t="shared" si="6"/>
        <v>2</v>
      </c>
      <c r="H34" s="48"/>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row>
    <row r="35" spans="1:63" s="32" customFormat="1" ht="30" customHeight="1" x14ac:dyDescent="0.3">
      <c r="A35" s="79" t="s">
        <v>69</v>
      </c>
      <c r="B35" s="70" t="s">
        <v>70</v>
      </c>
      <c r="C35" s="99" t="s">
        <v>264</v>
      </c>
      <c r="D35" s="86">
        <v>1</v>
      </c>
      <c r="E35" s="91">
        <v>45755</v>
      </c>
      <c r="F35" s="91">
        <v>45756</v>
      </c>
      <c r="G35" s="59">
        <f t="shared" si="6"/>
        <v>2</v>
      </c>
      <c r="H35" s="48"/>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row>
    <row r="36" spans="1:63" s="32" customFormat="1" ht="30" customHeight="1" x14ac:dyDescent="0.3">
      <c r="A36" s="79">
        <v>2.2000000000000002</v>
      </c>
      <c r="B36" s="70" t="s">
        <v>70</v>
      </c>
      <c r="C36" s="83" t="s">
        <v>265</v>
      </c>
      <c r="D36" s="87">
        <v>0.5</v>
      </c>
      <c r="E36" s="91">
        <v>45756</v>
      </c>
      <c r="F36" s="92">
        <v>45758</v>
      </c>
      <c r="G36" s="59">
        <f t="shared" si="6"/>
        <v>3</v>
      </c>
      <c r="H36" s="48"/>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row>
    <row r="37" spans="1:63" s="32" customFormat="1" ht="30" customHeight="1" x14ac:dyDescent="0.3">
      <c r="A37" s="79" t="s">
        <v>71</v>
      </c>
      <c r="B37" s="70" t="s">
        <v>72</v>
      </c>
      <c r="C37" s="84" t="s">
        <v>265</v>
      </c>
      <c r="D37" s="86">
        <v>0.6</v>
      </c>
      <c r="E37" s="91">
        <v>45756</v>
      </c>
      <c r="F37" s="91">
        <v>45757</v>
      </c>
      <c r="G37" s="59">
        <f t="shared" si="6"/>
        <v>2</v>
      </c>
      <c r="H37" s="48"/>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row>
    <row r="38" spans="1:63" s="32" customFormat="1" ht="30" customHeight="1" x14ac:dyDescent="0.3">
      <c r="A38" s="79" t="s">
        <v>73</v>
      </c>
      <c r="B38" s="70" t="s">
        <v>74</v>
      </c>
      <c r="C38" s="84" t="s">
        <v>265</v>
      </c>
      <c r="D38" s="86">
        <v>0</v>
      </c>
      <c r="E38" s="91">
        <v>45757</v>
      </c>
      <c r="F38" s="92">
        <v>45758</v>
      </c>
      <c r="G38" s="59">
        <f t="shared" si="6"/>
        <v>2</v>
      </c>
      <c r="H38" s="48"/>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row>
    <row r="39" spans="1:63" s="32" customFormat="1" ht="30" customHeight="1" x14ac:dyDescent="0.3">
      <c r="A39" s="79">
        <v>2.2999999999999998</v>
      </c>
      <c r="B39" s="70" t="s">
        <v>75</v>
      </c>
      <c r="C39" s="84" t="s">
        <v>266</v>
      </c>
      <c r="D39" s="86">
        <v>0</v>
      </c>
      <c r="E39" s="92">
        <v>45758</v>
      </c>
      <c r="F39" s="91">
        <v>45760</v>
      </c>
      <c r="G39" s="59">
        <f t="shared" si="6"/>
        <v>3</v>
      </c>
      <c r="H39" s="48"/>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row>
    <row r="40" spans="1:63" s="32" customFormat="1" ht="30" customHeight="1" x14ac:dyDescent="0.3">
      <c r="A40" s="79" t="s">
        <v>76</v>
      </c>
      <c r="B40" s="70" t="s">
        <v>77</v>
      </c>
      <c r="C40" s="85" t="s">
        <v>266</v>
      </c>
      <c r="D40" s="88">
        <f>AVERAGE(D41:D66)</f>
        <v>0</v>
      </c>
      <c r="E40" s="92">
        <v>45758</v>
      </c>
      <c r="F40" s="90">
        <v>45759</v>
      </c>
      <c r="G40" s="59">
        <f t="shared" si="6"/>
        <v>2</v>
      </c>
      <c r="H40" s="48"/>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row>
    <row r="41" spans="1:63" s="32" customFormat="1" ht="30" customHeight="1" x14ac:dyDescent="0.3">
      <c r="A41" s="79" t="s">
        <v>78</v>
      </c>
      <c r="B41" s="70" t="s">
        <v>79</v>
      </c>
      <c r="C41" s="83" t="s">
        <v>266</v>
      </c>
      <c r="D41" s="87">
        <v>0</v>
      </c>
      <c r="E41" s="90">
        <v>45759</v>
      </c>
      <c r="F41" s="91">
        <v>45760</v>
      </c>
      <c r="G41" s="59">
        <f t="shared" si="6"/>
        <v>2</v>
      </c>
      <c r="H41" s="48"/>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row>
    <row r="42" spans="1:63" s="32" customFormat="1" ht="30" customHeight="1" x14ac:dyDescent="0.3">
      <c r="A42" s="79">
        <v>2.4</v>
      </c>
      <c r="B42" s="70" t="s">
        <v>80</v>
      </c>
      <c r="C42" s="84" t="s">
        <v>264</v>
      </c>
      <c r="D42" s="86">
        <v>0</v>
      </c>
      <c r="E42" s="91">
        <v>45760</v>
      </c>
      <c r="F42" s="91">
        <v>45761</v>
      </c>
      <c r="G42" s="59">
        <f t="shared" ref="G42:G73" si="7">IF(OR(ISBLANK(task_start),ISBLANK(task_end)),"",task_end-task_start+1)</f>
        <v>2</v>
      </c>
      <c r="H42" s="48"/>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row>
    <row r="43" spans="1:63" s="32" customFormat="1" ht="30" customHeight="1" x14ac:dyDescent="0.3">
      <c r="A43" s="79" t="s">
        <v>81</v>
      </c>
      <c r="B43" s="70" t="s">
        <v>82</v>
      </c>
      <c r="C43" s="84" t="s">
        <v>264</v>
      </c>
      <c r="D43" s="86">
        <v>0</v>
      </c>
      <c r="E43" s="91">
        <v>45760</v>
      </c>
      <c r="F43" s="91">
        <v>45761</v>
      </c>
      <c r="G43" s="59">
        <f t="shared" si="7"/>
        <v>2</v>
      </c>
      <c r="H43" s="48"/>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row>
    <row r="44" spans="1:63" s="32" customFormat="1" ht="30" customHeight="1" x14ac:dyDescent="0.3">
      <c r="A44" s="79" t="s">
        <v>83</v>
      </c>
      <c r="B44" s="70" t="s">
        <v>84</v>
      </c>
      <c r="C44" s="84" t="s">
        <v>264</v>
      </c>
      <c r="D44" s="86">
        <v>0</v>
      </c>
      <c r="E44" s="91">
        <v>45761</v>
      </c>
      <c r="F44" s="91">
        <v>45761</v>
      </c>
      <c r="G44" s="59">
        <f t="shared" si="7"/>
        <v>1</v>
      </c>
      <c r="H44" s="48"/>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row>
    <row r="45" spans="1:63" s="32" customFormat="1" ht="30" customHeight="1" x14ac:dyDescent="0.3">
      <c r="A45" s="79">
        <v>2.5</v>
      </c>
      <c r="B45" s="70" t="s">
        <v>85</v>
      </c>
      <c r="C45" s="83" t="s">
        <v>264</v>
      </c>
      <c r="D45" s="87">
        <v>0</v>
      </c>
      <c r="E45" s="91">
        <v>45761</v>
      </c>
      <c r="F45" s="92">
        <v>45762</v>
      </c>
      <c r="G45" s="59">
        <f t="shared" si="7"/>
        <v>2</v>
      </c>
      <c r="H45" s="48"/>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row>
    <row r="46" spans="1:63" s="32" customFormat="1" ht="30" customHeight="1" x14ac:dyDescent="0.3">
      <c r="A46" s="79" t="s">
        <v>86</v>
      </c>
      <c r="B46" s="70" t="s">
        <v>87</v>
      </c>
      <c r="C46" s="84" t="s">
        <v>264</v>
      </c>
      <c r="D46" s="86">
        <v>0</v>
      </c>
      <c r="E46" s="91">
        <v>45761</v>
      </c>
      <c r="F46" s="92">
        <v>45762</v>
      </c>
      <c r="G46" s="59">
        <f t="shared" si="7"/>
        <v>2</v>
      </c>
      <c r="H46" s="48"/>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row>
    <row r="47" spans="1:63" s="32" customFormat="1" ht="30" customHeight="1" x14ac:dyDescent="0.3">
      <c r="A47" s="79" t="s">
        <v>88</v>
      </c>
      <c r="B47" s="70" t="s">
        <v>89</v>
      </c>
      <c r="C47" s="84" t="s">
        <v>262</v>
      </c>
      <c r="D47" s="86">
        <v>0</v>
      </c>
      <c r="E47" s="92">
        <v>45762</v>
      </c>
      <c r="F47" s="92">
        <v>45762</v>
      </c>
      <c r="G47" s="59">
        <f t="shared" si="7"/>
        <v>1</v>
      </c>
      <c r="H47" s="48"/>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row>
    <row r="48" spans="1:63" s="32" customFormat="1" ht="30" customHeight="1" x14ac:dyDescent="0.3">
      <c r="A48" s="79"/>
      <c r="B48" s="80"/>
      <c r="C48" s="84"/>
      <c r="D48" s="86"/>
      <c r="E48" s="91"/>
      <c r="F48" s="91"/>
      <c r="G48" s="59" t="str">
        <f t="shared" si="7"/>
        <v/>
      </c>
      <c r="H48" s="48"/>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row>
    <row r="49" spans="1:63" s="32" customFormat="1" ht="30" customHeight="1" x14ac:dyDescent="0.4">
      <c r="A49" s="75">
        <v>3</v>
      </c>
      <c r="B49" s="76" t="s">
        <v>90</v>
      </c>
      <c r="C49" s="83"/>
      <c r="D49" s="87"/>
      <c r="E49" s="92"/>
      <c r="F49" s="92"/>
      <c r="G49" s="59" t="str">
        <f t="shared" si="7"/>
        <v/>
      </c>
      <c r="H49" s="48"/>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row>
    <row r="50" spans="1:63" s="32" customFormat="1" ht="30" customHeight="1" x14ac:dyDescent="0.3">
      <c r="A50" s="77">
        <v>3.1</v>
      </c>
      <c r="B50" s="70" t="s">
        <v>91</v>
      </c>
      <c r="C50" s="84" t="s">
        <v>266</v>
      </c>
      <c r="D50" s="86">
        <v>0</v>
      </c>
      <c r="E50" s="91">
        <v>45763</v>
      </c>
      <c r="F50" s="91">
        <v>45764</v>
      </c>
      <c r="G50" s="59">
        <f t="shared" si="7"/>
        <v>2</v>
      </c>
      <c r="H50" s="48"/>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row>
    <row r="51" spans="1:63" s="32" customFormat="1" ht="30" customHeight="1" x14ac:dyDescent="0.3">
      <c r="A51" s="79" t="s">
        <v>92</v>
      </c>
      <c r="B51" s="70" t="s">
        <v>93</v>
      </c>
      <c r="C51" s="84" t="s">
        <v>266</v>
      </c>
      <c r="D51" s="86">
        <v>0</v>
      </c>
      <c r="E51" s="91">
        <v>45763</v>
      </c>
      <c r="F51" s="91">
        <v>45763</v>
      </c>
      <c r="G51" s="59">
        <f t="shared" si="7"/>
        <v>1</v>
      </c>
      <c r="H51" s="48"/>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row>
    <row r="52" spans="1:63" s="32" customFormat="1" ht="30" customHeight="1" x14ac:dyDescent="0.3">
      <c r="A52" s="79" t="s">
        <v>94</v>
      </c>
      <c r="B52" s="70" t="s">
        <v>95</v>
      </c>
      <c r="C52" s="84" t="s">
        <v>266</v>
      </c>
      <c r="D52" s="86">
        <v>0</v>
      </c>
      <c r="E52" s="91">
        <v>45763</v>
      </c>
      <c r="F52" s="91">
        <v>45764</v>
      </c>
      <c r="G52" s="59">
        <f t="shared" si="7"/>
        <v>2</v>
      </c>
      <c r="H52" s="48"/>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row>
    <row r="53" spans="1:63" s="32" customFormat="1" ht="30" customHeight="1" x14ac:dyDescent="0.3">
      <c r="A53" s="79">
        <v>3.2</v>
      </c>
      <c r="B53" s="70" t="s">
        <v>96</v>
      </c>
      <c r="C53" s="83" t="s">
        <v>267</v>
      </c>
      <c r="D53" s="87">
        <v>0</v>
      </c>
      <c r="E53" s="92">
        <v>45764</v>
      </c>
      <c r="F53" s="92">
        <v>45766</v>
      </c>
      <c r="G53" s="59">
        <f t="shared" si="7"/>
        <v>3</v>
      </c>
      <c r="H53" s="48"/>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row>
    <row r="54" spans="1:63" s="32" customFormat="1" ht="30" customHeight="1" x14ac:dyDescent="0.3">
      <c r="A54" s="79" t="s">
        <v>97</v>
      </c>
      <c r="B54" s="70" t="s">
        <v>98</v>
      </c>
      <c r="C54" s="84" t="s">
        <v>267</v>
      </c>
      <c r="D54" s="86">
        <v>0</v>
      </c>
      <c r="E54" s="92">
        <v>45764</v>
      </c>
      <c r="F54" s="91">
        <v>45765</v>
      </c>
      <c r="G54" s="59">
        <f t="shared" si="7"/>
        <v>2</v>
      </c>
      <c r="H54" s="48"/>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row>
    <row r="55" spans="1:63" s="32" customFormat="1" ht="30" customHeight="1" x14ac:dyDescent="0.3">
      <c r="A55" s="77" t="s">
        <v>99</v>
      </c>
      <c r="B55" s="70" t="s">
        <v>100</v>
      </c>
      <c r="C55" s="84" t="s">
        <v>267</v>
      </c>
      <c r="D55" s="86">
        <v>0</v>
      </c>
      <c r="E55" s="91">
        <v>45765</v>
      </c>
      <c r="F55" s="92">
        <v>45766</v>
      </c>
      <c r="G55" s="59">
        <f t="shared" si="7"/>
        <v>2</v>
      </c>
      <c r="H55" s="48"/>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row>
    <row r="56" spans="1:63" s="32" customFormat="1" ht="30" customHeight="1" x14ac:dyDescent="0.3">
      <c r="A56" s="79">
        <v>3.3</v>
      </c>
      <c r="B56" s="70" t="s">
        <v>101</v>
      </c>
      <c r="C56" s="84" t="s">
        <v>267</v>
      </c>
      <c r="D56" s="86">
        <v>0</v>
      </c>
      <c r="E56" s="91">
        <v>45767</v>
      </c>
      <c r="F56" s="91">
        <v>45769</v>
      </c>
      <c r="G56" s="59">
        <f t="shared" si="7"/>
        <v>3</v>
      </c>
      <c r="H56" s="48"/>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row>
    <row r="57" spans="1:63" s="32" customFormat="1" ht="30" customHeight="1" x14ac:dyDescent="0.3">
      <c r="A57" s="79" t="s">
        <v>102</v>
      </c>
      <c r="B57" s="70" t="s">
        <v>103</v>
      </c>
      <c r="C57" s="84" t="s">
        <v>267</v>
      </c>
      <c r="D57" s="87">
        <v>0</v>
      </c>
      <c r="E57" s="92">
        <v>45767</v>
      </c>
      <c r="F57" s="92">
        <v>45768</v>
      </c>
      <c r="G57" s="59">
        <f t="shared" si="7"/>
        <v>2</v>
      </c>
      <c r="H57" s="48"/>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row>
    <row r="58" spans="1:63" s="32" customFormat="1" ht="30" customHeight="1" x14ac:dyDescent="0.3">
      <c r="A58" s="79" t="s">
        <v>104</v>
      </c>
      <c r="B58" s="70" t="s">
        <v>105</v>
      </c>
      <c r="C58" s="84" t="s">
        <v>267</v>
      </c>
      <c r="D58" s="86">
        <v>0</v>
      </c>
      <c r="E58" s="91">
        <v>45768</v>
      </c>
      <c r="F58" s="91">
        <v>45769</v>
      </c>
      <c r="G58" s="59">
        <f t="shared" si="7"/>
        <v>2</v>
      </c>
      <c r="H58" s="48"/>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row>
    <row r="59" spans="1:63" s="32" customFormat="1" ht="30" customHeight="1" x14ac:dyDescent="0.3">
      <c r="A59" s="79">
        <v>3.4</v>
      </c>
      <c r="B59" s="70" t="s">
        <v>106</v>
      </c>
      <c r="C59" s="84" t="s">
        <v>268</v>
      </c>
      <c r="D59" s="86">
        <v>0</v>
      </c>
      <c r="E59" s="91">
        <v>45769</v>
      </c>
      <c r="F59" s="91">
        <v>45772</v>
      </c>
      <c r="G59" s="59">
        <f t="shared" si="7"/>
        <v>4</v>
      </c>
      <c r="H59" s="48"/>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row>
    <row r="60" spans="1:63" s="32" customFormat="1" ht="30" customHeight="1" x14ac:dyDescent="0.3">
      <c r="A60" s="77" t="s">
        <v>107</v>
      </c>
      <c r="B60" s="70" t="s">
        <v>108</v>
      </c>
      <c r="C60" s="84" t="s">
        <v>268</v>
      </c>
      <c r="D60" s="95">
        <f>AVERAGE(D61:D64)</f>
        <v>0</v>
      </c>
      <c r="E60" s="93">
        <v>45769</v>
      </c>
      <c r="F60" s="93">
        <v>45770</v>
      </c>
      <c r="G60" s="59">
        <f t="shared" si="7"/>
        <v>2</v>
      </c>
      <c r="H60" s="48"/>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row>
    <row r="61" spans="1:63" s="32" customFormat="1" ht="30" customHeight="1" x14ac:dyDescent="0.3">
      <c r="A61" s="79" t="s">
        <v>109</v>
      </c>
      <c r="B61" s="70" t="s">
        <v>110</v>
      </c>
      <c r="C61" s="84" t="s">
        <v>268</v>
      </c>
      <c r="D61" s="87">
        <v>0</v>
      </c>
      <c r="E61" s="90">
        <v>45771</v>
      </c>
      <c r="F61" s="90">
        <v>45772</v>
      </c>
      <c r="G61" s="59">
        <f t="shared" si="7"/>
        <v>2</v>
      </c>
      <c r="H61" s="48"/>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row>
    <row r="62" spans="1:63" s="32" customFormat="1" ht="30" customHeight="1" x14ac:dyDescent="0.3">
      <c r="A62" s="79">
        <v>3.5</v>
      </c>
      <c r="B62" s="70" t="s">
        <v>111</v>
      </c>
      <c r="C62" s="84" t="s">
        <v>264</v>
      </c>
      <c r="D62" s="86">
        <v>0</v>
      </c>
      <c r="E62" s="90">
        <v>45771</v>
      </c>
      <c r="F62" s="90">
        <v>45778</v>
      </c>
      <c r="G62" s="59">
        <f t="shared" si="7"/>
        <v>8</v>
      </c>
      <c r="H62" s="48"/>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row>
    <row r="63" spans="1:63" s="32" customFormat="1" ht="30" customHeight="1" x14ac:dyDescent="0.3">
      <c r="A63" s="79" t="s">
        <v>112</v>
      </c>
      <c r="B63" s="70" t="s">
        <v>113</v>
      </c>
      <c r="C63" s="84" t="s">
        <v>264</v>
      </c>
      <c r="D63" s="86">
        <v>0</v>
      </c>
      <c r="E63" s="90">
        <v>45773</v>
      </c>
      <c r="F63" s="92">
        <v>45777</v>
      </c>
      <c r="G63" s="59">
        <f t="shared" si="7"/>
        <v>5</v>
      </c>
      <c r="H63" s="48"/>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row>
    <row r="64" spans="1:63" s="32" customFormat="1" ht="30" customHeight="1" x14ac:dyDescent="0.3">
      <c r="A64" s="79" t="s">
        <v>114</v>
      </c>
      <c r="B64" s="70" t="s">
        <v>115</v>
      </c>
      <c r="C64" s="84" t="s">
        <v>264</v>
      </c>
      <c r="D64" s="86">
        <v>0</v>
      </c>
      <c r="E64" s="90">
        <v>45778</v>
      </c>
      <c r="F64" s="90">
        <v>45778</v>
      </c>
      <c r="G64" s="59">
        <f t="shared" si="7"/>
        <v>1</v>
      </c>
      <c r="H64" s="48"/>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row>
    <row r="65" spans="1:63" s="32" customFormat="1" ht="30" customHeight="1" x14ac:dyDescent="0.3">
      <c r="A65" s="81"/>
      <c r="B65" s="82"/>
      <c r="C65" s="82"/>
      <c r="D65" s="89"/>
      <c r="E65" s="94"/>
      <c r="F65" s="94"/>
      <c r="G65" s="59" t="str">
        <f t="shared" si="7"/>
        <v/>
      </c>
      <c r="H65" s="48"/>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row>
    <row r="66" spans="1:63" s="32" customFormat="1" ht="30" customHeight="1" x14ac:dyDescent="0.4">
      <c r="A66" s="75">
        <v>4</v>
      </c>
      <c r="B66" s="76" t="s">
        <v>116</v>
      </c>
      <c r="C66" s="83"/>
      <c r="D66" s="87"/>
      <c r="E66" s="92"/>
      <c r="F66" s="92"/>
      <c r="G66" s="59" t="str">
        <f t="shared" si="7"/>
        <v/>
      </c>
      <c r="H66" s="48"/>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row>
    <row r="67" spans="1:63" s="32" customFormat="1" ht="30" customHeight="1" x14ac:dyDescent="0.35">
      <c r="A67" s="77">
        <v>4.0999999999999996</v>
      </c>
      <c r="B67" s="78" t="s">
        <v>117</v>
      </c>
      <c r="C67" s="84" t="s">
        <v>269</v>
      </c>
      <c r="D67" s="86">
        <v>0</v>
      </c>
      <c r="E67" s="91">
        <v>45779</v>
      </c>
      <c r="F67" s="91">
        <v>45781</v>
      </c>
      <c r="G67" s="59">
        <f t="shared" si="7"/>
        <v>3</v>
      </c>
      <c r="H67" s="48"/>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row>
    <row r="68" spans="1:63" s="32" customFormat="1" ht="30" customHeight="1" x14ac:dyDescent="0.3">
      <c r="A68" s="79" t="s">
        <v>118</v>
      </c>
      <c r="B68" s="70" t="s">
        <v>119</v>
      </c>
      <c r="C68" s="84" t="s">
        <v>269</v>
      </c>
      <c r="D68" s="86">
        <v>0</v>
      </c>
      <c r="E68" s="91">
        <v>45779</v>
      </c>
      <c r="F68" s="91">
        <v>45780</v>
      </c>
      <c r="G68" s="59">
        <f t="shared" si="7"/>
        <v>2</v>
      </c>
      <c r="H68" s="48"/>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row>
    <row r="69" spans="1:63" s="32" customFormat="1" ht="30" customHeight="1" x14ac:dyDescent="0.3">
      <c r="A69" s="79" t="s">
        <v>120</v>
      </c>
      <c r="B69" s="70" t="s">
        <v>121</v>
      </c>
      <c r="C69" s="84" t="s">
        <v>269</v>
      </c>
      <c r="D69" s="86">
        <v>0</v>
      </c>
      <c r="E69" s="91">
        <v>45780</v>
      </c>
      <c r="F69" s="91">
        <v>45781</v>
      </c>
      <c r="G69" s="59">
        <f t="shared" si="7"/>
        <v>2</v>
      </c>
      <c r="H69" s="48"/>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row>
    <row r="70" spans="1:63" s="32" customFormat="1" ht="30" customHeight="1" x14ac:dyDescent="0.3">
      <c r="A70" s="79">
        <v>4.2</v>
      </c>
      <c r="B70" s="70" t="s">
        <v>122</v>
      </c>
      <c r="C70" s="84" t="s">
        <v>262</v>
      </c>
      <c r="D70" s="86">
        <v>0</v>
      </c>
      <c r="E70" s="91">
        <v>45782</v>
      </c>
      <c r="F70" s="91">
        <v>45783</v>
      </c>
      <c r="G70" s="59">
        <f t="shared" si="7"/>
        <v>2</v>
      </c>
      <c r="H70" s="48"/>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row>
    <row r="71" spans="1:63" s="32" customFormat="1" ht="30" customHeight="1" x14ac:dyDescent="0.3">
      <c r="A71" s="77" t="s">
        <v>123</v>
      </c>
      <c r="B71" s="70" t="s">
        <v>124</v>
      </c>
      <c r="C71" s="84" t="s">
        <v>262</v>
      </c>
      <c r="D71" s="87">
        <v>0</v>
      </c>
      <c r="E71" s="91">
        <v>45782</v>
      </c>
      <c r="F71" s="91">
        <v>45782</v>
      </c>
      <c r="G71" s="59">
        <f t="shared" si="7"/>
        <v>1</v>
      </c>
      <c r="H71" s="48"/>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row>
    <row r="72" spans="1:63" s="32" customFormat="1" ht="30" customHeight="1" x14ac:dyDescent="0.3">
      <c r="A72" s="79" t="s">
        <v>125</v>
      </c>
      <c r="B72" s="70" t="s">
        <v>126</v>
      </c>
      <c r="C72" s="84" t="s">
        <v>262</v>
      </c>
      <c r="D72" s="86">
        <v>0</v>
      </c>
      <c r="E72" s="91">
        <v>45783</v>
      </c>
      <c r="F72" s="91">
        <v>45783</v>
      </c>
      <c r="G72" s="59">
        <f t="shared" si="7"/>
        <v>1</v>
      </c>
      <c r="H72" s="48"/>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row>
    <row r="73" spans="1:63" s="32" customFormat="1" ht="30" customHeight="1" x14ac:dyDescent="0.3">
      <c r="A73" s="79">
        <v>4.3</v>
      </c>
      <c r="B73" s="70" t="s">
        <v>127</v>
      </c>
      <c r="C73" s="84" t="s">
        <v>270</v>
      </c>
      <c r="D73" s="86">
        <v>0</v>
      </c>
      <c r="E73" s="91">
        <v>45784</v>
      </c>
      <c r="F73" s="91">
        <v>45787</v>
      </c>
      <c r="G73" s="59">
        <f t="shared" si="7"/>
        <v>4</v>
      </c>
      <c r="H73" s="48"/>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row>
    <row r="74" spans="1:63" s="32" customFormat="1" ht="30" customHeight="1" x14ac:dyDescent="0.3">
      <c r="A74" s="79" t="s">
        <v>128</v>
      </c>
      <c r="B74" s="70" t="s">
        <v>129</v>
      </c>
      <c r="C74" s="84" t="s">
        <v>270</v>
      </c>
      <c r="D74" s="86">
        <v>0</v>
      </c>
      <c r="E74" s="91">
        <v>45784</v>
      </c>
      <c r="F74" s="91">
        <v>45785</v>
      </c>
      <c r="G74" s="59">
        <f t="shared" ref="G74:G105" si="8">IF(OR(ISBLANK(task_start),ISBLANK(task_end)),"",task_end-task_start+1)</f>
        <v>2</v>
      </c>
      <c r="H74" s="48"/>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row>
    <row r="75" spans="1:63" s="32" customFormat="1" ht="30" customHeight="1" x14ac:dyDescent="0.3">
      <c r="A75" s="77" t="s">
        <v>130</v>
      </c>
      <c r="B75" s="70" t="s">
        <v>131</v>
      </c>
      <c r="C75" s="84" t="s">
        <v>270</v>
      </c>
      <c r="D75" s="86">
        <v>0</v>
      </c>
      <c r="E75" s="91">
        <v>45786</v>
      </c>
      <c r="F75" s="91">
        <v>45787</v>
      </c>
      <c r="G75" s="59">
        <f t="shared" si="8"/>
        <v>2</v>
      </c>
      <c r="H75" s="48"/>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row>
    <row r="76" spans="1:63" s="32" customFormat="1" ht="30" customHeight="1" x14ac:dyDescent="0.3">
      <c r="A76" s="79">
        <v>4.4000000000000004</v>
      </c>
      <c r="B76" s="70" t="s">
        <v>132</v>
      </c>
      <c r="C76" s="84" t="s">
        <v>270</v>
      </c>
      <c r="D76" s="87">
        <v>0</v>
      </c>
      <c r="E76" s="92">
        <v>45788</v>
      </c>
      <c r="F76" s="92">
        <v>45792</v>
      </c>
      <c r="G76" s="59">
        <f t="shared" si="8"/>
        <v>5</v>
      </c>
      <c r="H76" s="48"/>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row>
    <row r="77" spans="1:63" s="32" customFormat="1" ht="30" customHeight="1" x14ac:dyDescent="0.3">
      <c r="A77" s="79" t="s">
        <v>133</v>
      </c>
      <c r="B77" s="70" t="s">
        <v>134</v>
      </c>
      <c r="C77" s="84" t="s">
        <v>270</v>
      </c>
      <c r="D77" s="86">
        <v>0</v>
      </c>
      <c r="E77" s="91">
        <v>45788</v>
      </c>
      <c r="F77" s="91">
        <v>45790</v>
      </c>
      <c r="G77" s="59">
        <f t="shared" si="8"/>
        <v>3</v>
      </c>
      <c r="H77" s="48"/>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row>
    <row r="78" spans="1:63" s="32" customFormat="1" ht="30" customHeight="1" x14ac:dyDescent="0.3">
      <c r="A78" s="79" t="s">
        <v>135</v>
      </c>
      <c r="B78" s="70" t="s">
        <v>136</v>
      </c>
      <c r="C78" s="84" t="s">
        <v>270</v>
      </c>
      <c r="D78" s="86">
        <v>0</v>
      </c>
      <c r="E78" s="91">
        <v>45791</v>
      </c>
      <c r="F78" s="91">
        <v>45792</v>
      </c>
      <c r="G78" s="59">
        <f t="shared" si="8"/>
        <v>2</v>
      </c>
      <c r="H78" s="48"/>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row>
    <row r="79" spans="1:63" s="32" customFormat="1" ht="30" customHeight="1" x14ac:dyDescent="0.3">
      <c r="A79" s="79">
        <v>4.5</v>
      </c>
      <c r="B79" s="70" t="s">
        <v>137</v>
      </c>
      <c r="C79" s="84" t="s">
        <v>266</v>
      </c>
      <c r="D79" s="86">
        <v>0</v>
      </c>
      <c r="E79" s="91">
        <v>45793</v>
      </c>
      <c r="F79" s="91">
        <v>45795</v>
      </c>
      <c r="G79" s="59">
        <f t="shared" si="8"/>
        <v>3</v>
      </c>
      <c r="H79" s="48"/>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row>
    <row r="80" spans="1:63" s="32" customFormat="1" ht="30" customHeight="1" x14ac:dyDescent="0.3">
      <c r="A80" s="79" t="s">
        <v>138</v>
      </c>
      <c r="B80" s="70" t="s">
        <v>139</v>
      </c>
      <c r="C80" s="84" t="s">
        <v>266</v>
      </c>
      <c r="D80" s="95">
        <f>AVERAGE(D81:D266)</f>
        <v>5.5714285714285709E-2</v>
      </c>
      <c r="E80" s="93">
        <v>45793</v>
      </c>
      <c r="F80" s="93">
        <v>45794</v>
      </c>
      <c r="G80" s="59">
        <f t="shared" si="8"/>
        <v>2</v>
      </c>
      <c r="H80" s="48"/>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row>
    <row r="81" spans="1:63" s="32" customFormat="1" ht="30" customHeight="1" x14ac:dyDescent="0.3">
      <c r="A81" s="79" t="s">
        <v>140</v>
      </c>
      <c r="B81" s="70" t="s">
        <v>141</v>
      </c>
      <c r="C81" s="84" t="s">
        <v>266</v>
      </c>
      <c r="D81" s="87">
        <v>0</v>
      </c>
      <c r="E81" s="92">
        <v>45794</v>
      </c>
      <c r="F81" s="92">
        <v>45795</v>
      </c>
      <c r="G81" s="59">
        <f t="shared" si="8"/>
        <v>2</v>
      </c>
      <c r="H81" s="48"/>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row>
    <row r="82" spans="1:63" s="32" customFormat="1" ht="30" customHeight="1" x14ac:dyDescent="0.3">
      <c r="A82" s="79"/>
      <c r="B82" s="70"/>
      <c r="C82" s="83"/>
      <c r="D82" s="87"/>
      <c r="E82" s="92"/>
      <c r="F82" s="92"/>
      <c r="G82" s="59" t="str">
        <f t="shared" si="8"/>
        <v/>
      </c>
      <c r="H82" s="48"/>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row>
    <row r="83" spans="1:63" s="32" customFormat="1" ht="30" customHeight="1" x14ac:dyDescent="0.4">
      <c r="A83" s="79">
        <v>5</v>
      </c>
      <c r="B83" s="76" t="s">
        <v>142</v>
      </c>
      <c r="C83" s="83"/>
      <c r="D83" s="87"/>
      <c r="E83" s="92"/>
      <c r="F83" s="92"/>
      <c r="G83" s="59" t="str">
        <f t="shared" si="8"/>
        <v/>
      </c>
      <c r="H83" s="48"/>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row>
    <row r="84" spans="1:63" s="32" customFormat="1" ht="30" customHeight="1" x14ac:dyDescent="0.35">
      <c r="A84" s="79">
        <v>5.0999999999999996</v>
      </c>
      <c r="B84" s="78" t="s">
        <v>143</v>
      </c>
      <c r="C84" s="70" t="s">
        <v>271</v>
      </c>
      <c r="D84" s="87">
        <v>0.7</v>
      </c>
      <c r="E84" s="92">
        <v>45765</v>
      </c>
      <c r="F84" s="92">
        <v>45769</v>
      </c>
      <c r="G84" s="59">
        <f t="shared" si="8"/>
        <v>5</v>
      </c>
      <c r="H84" s="48"/>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row>
    <row r="85" spans="1:63" s="32" customFormat="1" ht="30" customHeight="1" x14ac:dyDescent="0.3">
      <c r="A85" s="79" t="s">
        <v>144</v>
      </c>
      <c r="B85" s="70" t="s">
        <v>145</v>
      </c>
      <c r="C85" s="70" t="s">
        <v>271</v>
      </c>
      <c r="D85" s="87">
        <v>1</v>
      </c>
      <c r="E85" s="92">
        <v>45762</v>
      </c>
      <c r="F85" s="92">
        <v>45763</v>
      </c>
      <c r="G85" s="59">
        <f t="shared" si="8"/>
        <v>2</v>
      </c>
      <c r="H85" s="48"/>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row>
    <row r="86" spans="1:63" s="32" customFormat="1" ht="30" customHeight="1" x14ac:dyDescent="0.3">
      <c r="A86" s="79" t="s">
        <v>146</v>
      </c>
      <c r="B86" s="70" t="s">
        <v>147</v>
      </c>
      <c r="C86" s="70" t="s">
        <v>271</v>
      </c>
      <c r="D86" s="87">
        <v>0.6</v>
      </c>
      <c r="E86" s="92">
        <v>45764</v>
      </c>
      <c r="F86" s="92">
        <v>45766</v>
      </c>
      <c r="G86" s="59">
        <f t="shared" si="8"/>
        <v>3</v>
      </c>
      <c r="H86" s="48"/>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row>
    <row r="87" spans="1:63" s="32" customFormat="1" ht="30" customHeight="1" x14ac:dyDescent="0.3">
      <c r="A87" s="79">
        <v>5.2</v>
      </c>
      <c r="B87" s="70" t="s">
        <v>148</v>
      </c>
      <c r="C87" s="70" t="s">
        <v>272</v>
      </c>
      <c r="D87" s="87">
        <v>0</v>
      </c>
      <c r="E87" s="92">
        <v>45770</v>
      </c>
      <c r="F87" s="92">
        <v>45777</v>
      </c>
      <c r="G87" s="59">
        <f t="shared" si="8"/>
        <v>8</v>
      </c>
      <c r="H87" s="48"/>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row>
    <row r="88" spans="1:63" s="32" customFormat="1" ht="30" customHeight="1" x14ac:dyDescent="0.3">
      <c r="A88" s="79" t="s">
        <v>149</v>
      </c>
      <c r="B88" s="70" t="s">
        <v>150</v>
      </c>
      <c r="C88" s="70" t="s">
        <v>272</v>
      </c>
      <c r="D88" s="87">
        <v>0</v>
      </c>
      <c r="E88" s="92">
        <v>45768</v>
      </c>
      <c r="F88" s="92">
        <v>45769</v>
      </c>
      <c r="G88" s="59">
        <f t="shared" si="8"/>
        <v>2</v>
      </c>
      <c r="H88" s="48"/>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row>
    <row r="89" spans="1:63" s="32" customFormat="1" ht="30" customHeight="1" x14ac:dyDescent="0.3">
      <c r="A89" s="79" t="s">
        <v>151</v>
      </c>
      <c r="B89" s="70" t="s">
        <v>152</v>
      </c>
      <c r="C89" s="70" t="s">
        <v>272</v>
      </c>
      <c r="D89" s="87">
        <v>0</v>
      </c>
      <c r="E89" s="92">
        <v>45770</v>
      </c>
      <c r="F89" s="92">
        <v>45778</v>
      </c>
      <c r="G89" s="59">
        <f t="shared" si="8"/>
        <v>9</v>
      </c>
      <c r="H89" s="48"/>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row>
    <row r="90" spans="1:63" s="32" customFormat="1" ht="30" customHeight="1" x14ac:dyDescent="0.3">
      <c r="A90" s="79">
        <v>5.3</v>
      </c>
      <c r="B90" s="70" t="s">
        <v>153</v>
      </c>
      <c r="C90" s="70" t="s">
        <v>273</v>
      </c>
      <c r="D90" s="87">
        <v>0</v>
      </c>
      <c r="E90" s="92">
        <v>45779</v>
      </c>
      <c r="F90" s="92">
        <v>45787</v>
      </c>
      <c r="G90" s="59">
        <f t="shared" si="8"/>
        <v>9</v>
      </c>
      <c r="H90" s="48"/>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row>
    <row r="91" spans="1:63" s="32" customFormat="1" ht="30" customHeight="1" x14ac:dyDescent="0.3">
      <c r="A91" s="79" t="s">
        <v>154</v>
      </c>
      <c r="B91" s="70" t="s">
        <v>155</v>
      </c>
      <c r="C91" s="70" t="s">
        <v>273</v>
      </c>
      <c r="D91" s="87">
        <v>0</v>
      </c>
      <c r="E91" s="92">
        <v>45780</v>
      </c>
      <c r="F91" s="92">
        <v>45784</v>
      </c>
      <c r="G91" s="59">
        <f t="shared" si="8"/>
        <v>5</v>
      </c>
      <c r="H91" s="48"/>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row>
    <row r="92" spans="1:63" s="32" customFormat="1" ht="30" customHeight="1" x14ac:dyDescent="0.3">
      <c r="A92" s="79" t="s">
        <v>156</v>
      </c>
      <c r="B92" s="70" t="s">
        <v>157</v>
      </c>
      <c r="C92" s="70" t="s">
        <v>273</v>
      </c>
      <c r="D92" s="87">
        <v>0</v>
      </c>
      <c r="E92" s="92">
        <v>45785</v>
      </c>
      <c r="F92" s="92">
        <v>45786</v>
      </c>
      <c r="G92" s="59">
        <f t="shared" si="8"/>
        <v>2</v>
      </c>
      <c r="H92" s="48"/>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row>
    <row r="93" spans="1:63" s="32" customFormat="1" ht="30" customHeight="1" x14ac:dyDescent="0.3">
      <c r="A93" s="79">
        <v>5.4</v>
      </c>
      <c r="B93" s="70" t="s">
        <v>158</v>
      </c>
      <c r="C93" s="70" t="s">
        <v>273</v>
      </c>
      <c r="D93" s="87">
        <v>0</v>
      </c>
      <c r="E93" s="92">
        <v>45788</v>
      </c>
      <c r="F93" s="92">
        <v>45791</v>
      </c>
      <c r="G93" s="59">
        <f t="shared" si="8"/>
        <v>4</v>
      </c>
      <c r="H93" s="48"/>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row>
    <row r="94" spans="1:63" s="32" customFormat="1" ht="30" customHeight="1" x14ac:dyDescent="0.3">
      <c r="A94" s="79" t="s">
        <v>159</v>
      </c>
      <c r="B94" s="70" t="s">
        <v>160</v>
      </c>
      <c r="C94" s="70" t="s">
        <v>274</v>
      </c>
      <c r="D94" s="87">
        <v>0</v>
      </c>
      <c r="E94" s="92">
        <v>45788</v>
      </c>
      <c r="F94" s="92">
        <v>45789</v>
      </c>
      <c r="G94" s="59">
        <f t="shared" si="8"/>
        <v>2</v>
      </c>
      <c r="H94" s="48"/>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row>
    <row r="95" spans="1:63" s="32" customFormat="1" ht="30" customHeight="1" x14ac:dyDescent="0.3">
      <c r="A95" s="79" t="s">
        <v>161</v>
      </c>
      <c r="B95" s="70" t="s">
        <v>162</v>
      </c>
      <c r="C95" s="70" t="s">
        <v>274</v>
      </c>
      <c r="D95" s="87">
        <v>0</v>
      </c>
      <c r="E95" s="92">
        <v>45790</v>
      </c>
      <c r="F95" s="92">
        <v>45791</v>
      </c>
      <c r="G95" s="59">
        <f t="shared" si="8"/>
        <v>2</v>
      </c>
      <c r="H95" s="48"/>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row>
    <row r="96" spans="1:63" s="32" customFormat="1" ht="30" customHeight="1" x14ac:dyDescent="0.3">
      <c r="A96" s="79">
        <v>5.5</v>
      </c>
      <c r="B96" s="70" t="s">
        <v>163</v>
      </c>
      <c r="C96" s="70" t="s">
        <v>272</v>
      </c>
      <c r="D96" s="87">
        <v>0</v>
      </c>
      <c r="E96" s="92">
        <v>45792</v>
      </c>
      <c r="F96" s="92">
        <v>45795</v>
      </c>
      <c r="G96" s="59">
        <f t="shared" si="8"/>
        <v>4</v>
      </c>
      <c r="H96" s="48"/>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row>
    <row r="97" spans="1:63" s="32" customFormat="1" ht="30" customHeight="1" x14ac:dyDescent="0.3">
      <c r="A97" s="79" t="s">
        <v>164</v>
      </c>
      <c r="B97" s="70" t="s">
        <v>165</v>
      </c>
      <c r="C97" s="70" t="s">
        <v>272</v>
      </c>
      <c r="D97" s="87">
        <v>0</v>
      </c>
      <c r="E97" s="92">
        <v>45792</v>
      </c>
      <c r="F97" s="92">
        <v>45793</v>
      </c>
      <c r="G97" s="59">
        <f t="shared" si="8"/>
        <v>2</v>
      </c>
      <c r="H97" s="48"/>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row>
    <row r="98" spans="1:63" s="32" customFormat="1" ht="30" customHeight="1" x14ac:dyDescent="0.3">
      <c r="A98" s="79" t="s">
        <v>166</v>
      </c>
      <c r="B98" s="70" t="s">
        <v>167</v>
      </c>
      <c r="C98" s="70" t="s">
        <v>272</v>
      </c>
      <c r="D98" s="87">
        <v>0</v>
      </c>
      <c r="E98" s="92">
        <v>45794</v>
      </c>
      <c r="F98" s="92">
        <v>45795</v>
      </c>
      <c r="G98" s="59">
        <f t="shared" si="8"/>
        <v>2</v>
      </c>
      <c r="H98" s="48"/>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row>
    <row r="99" spans="1:63" s="32" customFormat="1" ht="30" customHeight="1" x14ac:dyDescent="0.3">
      <c r="A99" s="79"/>
      <c r="B99" s="70"/>
      <c r="C99" s="70"/>
      <c r="D99" s="87"/>
      <c r="E99" s="92"/>
      <c r="F99" s="92"/>
      <c r="G99" s="59" t="str">
        <f t="shared" si="8"/>
        <v/>
      </c>
      <c r="H99" s="48"/>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row>
    <row r="100" spans="1:63" s="32" customFormat="1" ht="30" customHeight="1" x14ac:dyDescent="0.4">
      <c r="A100" s="79">
        <v>6</v>
      </c>
      <c r="B100" s="76" t="s">
        <v>168</v>
      </c>
      <c r="C100" s="83"/>
      <c r="D100" s="87"/>
      <c r="E100" s="92"/>
      <c r="F100" s="92"/>
      <c r="G100" s="59" t="str">
        <f t="shared" si="8"/>
        <v/>
      </c>
      <c r="H100" s="48"/>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row>
    <row r="101" spans="1:63" s="32" customFormat="1" ht="30" customHeight="1" x14ac:dyDescent="0.3">
      <c r="A101" s="79">
        <v>6.1</v>
      </c>
      <c r="B101" s="70" t="s">
        <v>169</v>
      </c>
      <c r="C101" s="70" t="s">
        <v>275</v>
      </c>
      <c r="D101" s="87">
        <v>0.4</v>
      </c>
      <c r="E101" s="92">
        <v>45765</v>
      </c>
      <c r="F101" s="92">
        <v>45772</v>
      </c>
      <c r="G101" s="59">
        <f t="shared" si="8"/>
        <v>8</v>
      </c>
      <c r="H101" s="48"/>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c r="AG101" s="33"/>
      <c r="AH101" s="33"/>
      <c r="AI101" s="33"/>
      <c r="AJ101" s="33"/>
      <c r="AK101" s="33"/>
      <c r="AL101" s="33"/>
      <c r="AM101" s="33"/>
      <c r="AN101" s="33"/>
      <c r="AO101" s="33"/>
      <c r="AP101" s="33"/>
      <c r="AQ101" s="33"/>
      <c r="AR101" s="33"/>
      <c r="AS101" s="33"/>
      <c r="AT101" s="33"/>
      <c r="AU101" s="33"/>
      <c r="AV101" s="33"/>
      <c r="AW101" s="33"/>
      <c r="AX101" s="33"/>
      <c r="AY101" s="33"/>
      <c r="AZ101" s="33"/>
      <c r="BA101" s="33"/>
      <c r="BB101" s="33"/>
      <c r="BC101" s="33"/>
      <c r="BD101" s="33"/>
      <c r="BE101" s="33"/>
      <c r="BF101" s="33"/>
      <c r="BG101" s="33"/>
      <c r="BH101" s="33"/>
      <c r="BI101" s="33"/>
      <c r="BJ101" s="33"/>
      <c r="BK101" s="33"/>
    </row>
    <row r="102" spans="1:63" s="32" customFormat="1" ht="30" customHeight="1" x14ac:dyDescent="0.3">
      <c r="A102" s="79" t="s">
        <v>170</v>
      </c>
      <c r="B102" s="70" t="s">
        <v>171</v>
      </c>
      <c r="C102" s="70" t="s">
        <v>275</v>
      </c>
      <c r="D102" s="87">
        <v>0</v>
      </c>
      <c r="E102" s="92">
        <v>45766</v>
      </c>
      <c r="F102" s="92">
        <v>45770</v>
      </c>
      <c r="G102" s="59">
        <f t="shared" si="8"/>
        <v>5</v>
      </c>
      <c r="H102" s="48"/>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c r="AF102" s="33"/>
      <c r="AG102" s="33"/>
      <c r="AH102" s="33"/>
      <c r="AI102" s="33"/>
      <c r="AJ102" s="33"/>
      <c r="AK102" s="33"/>
      <c r="AL102" s="33"/>
      <c r="AM102" s="33"/>
      <c r="AN102" s="33"/>
      <c r="AO102" s="33"/>
      <c r="AP102" s="33"/>
      <c r="AQ102" s="33"/>
      <c r="AR102" s="33"/>
      <c r="AS102" s="33"/>
      <c r="AT102" s="33"/>
      <c r="AU102" s="33"/>
      <c r="AV102" s="33"/>
      <c r="AW102" s="33"/>
      <c r="AX102" s="33"/>
      <c r="AY102" s="33"/>
      <c r="AZ102" s="33"/>
      <c r="BA102" s="33"/>
      <c r="BB102" s="33"/>
      <c r="BC102" s="33"/>
      <c r="BD102" s="33"/>
      <c r="BE102" s="33"/>
      <c r="BF102" s="33"/>
      <c r="BG102" s="33"/>
      <c r="BH102" s="33"/>
      <c r="BI102" s="33"/>
      <c r="BJ102" s="33"/>
      <c r="BK102" s="33"/>
    </row>
    <row r="103" spans="1:63" s="32" customFormat="1" ht="30" customHeight="1" x14ac:dyDescent="0.3">
      <c r="A103" s="79" t="s">
        <v>172</v>
      </c>
      <c r="B103" s="70" t="s">
        <v>173</v>
      </c>
      <c r="C103" s="70" t="s">
        <v>275</v>
      </c>
      <c r="D103" s="87">
        <v>0.5</v>
      </c>
      <c r="E103" s="92">
        <v>45765</v>
      </c>
      <c r="F103" s="92">
        <v>45771</v>
      </c>
      <c r="G103" s="59">
        <f t="shared" si="8"/>
        <v>7</v>
      </c>
      <c r="H103" s="48"/>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3"/>
      <c r="AY103" s="33"/>
      <c r="AZ103" s="33"/>
      <c r="BA103" s="33"/>
      <c r="BB103" s="33"/>
      <c r="BC103" s="33"/>
      <c r="BD103" s="33"/>
      <c r="BE103" s="33"/>
      <c r="BF103" s="33"/>
      <c r="BG103" s="33"/>
      <c r="BH103" s="33"/>
      <c r="BI103" s="33"/>
      <c r="BJ103" s="33"/>
      <c r="BK103" s="33"/>
    </row>
    <row r="104" spans="1:63" s="32" customFormat="1" ht="30" customHeight="1" x14ac:dyDescent="0.3">
      <c r="A104" s="79">
        <v>6.2</v>
      </c>
      <c r="B104" s="70" t="s">
        <v>174</v>
      </c>
      <c r="C104" s="70" t="s">
        <v>275</v>
      </c>
      <c r="D104" s="87">
        <v>0</v>
      </c>
      <c r="E104" s="92">
        <v>45772</v>
      </c>
      <c r="F104" s="92">
        <v>45774</v>
      </c>
      <c r="G104" s="59">
        <f t="shared" si="8"/>
        <v>3</v>
      </c>
      <c r="H104" s="48"/>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I104" s="33"/>
      <c r="AJ104" s="33"/>
      <c r="AK104" s="33"/>
      <c r="AL104" s="33"/>
      <c r="AM104" s="33"/>
      <c r="AN104" s="33"/>
      <c r="AO104" s="33"/>
      <c r="AP104" s="33"/>
      <c r="AQ104" s="33"/>
      <c r="AR104" s="33"/>
      <c r="AS104" s="33"/>
      <c r="AT104" s="33"/>
      <c r="AU104" s="33"/>
      <c r="AV104" s="33"/>
      <c r="AW104" s="33"/>
      <c r="AX104" s="33"/>
      <c r="AY104" s="33"/>
      <c r="AZ104" s="33"/>
      <c r="BA104" s="33"/>
      <c r="BB104" s="33"/>
      <c r="BC104" s="33"/>
      <c r="BD104" s="33"/>
      <c r="BE104" s="33"/>
      <c r="BF104" s="33"/>
      <c r="BG104" s="33"/>
      <c r="BH104" s="33"/>
      <c r="BI104" s="33"/>
      <c r="BJ104" s="33"/>
      <c r="BK104" s="33"/>
    </row>
    <row r="105" spans="1:63" s="32" customFormat="1" ht="30" customHeight="1" x14ac:dyDescent="0.3">
      <c r="A105" s="79" t="s">
        <v>175</v>
      </c>
      <c r="B105" s="70" t="s">
        <v>176</v>
      </c>
      <c r="C105" s="70" t="s">
        <v>275</v>
      </c>
      <c r="D105" s="87">
        <v>0</v>
      </c>
      <c r="E105" s="92">
        <v>45772</v>
      </c>
      <c r="F105" s="92">
        <v>45773</v>
      </c>
      <c r="G105" s="59">
        <f t="shared" si="8"/>
        <v>2</v>
      </c>
      <c r="H105" s="48"/>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c r="AG105" s="33"/>
      <c r="AH105" s="33"/>
      <c r="AI105" s="33"/>
      <c r="AJ105" s="33"/>
      <c r="AK105" s="33"/>
      <c r="AL105" s="33"/>
      <c r="AM105" s="33"/>
      <c r="AN105" s="33"/>
      <c r="AO105" s="33"/>
      <c r="AP105" s="33"/>
      <c r="AQ105" s="33"/>
      <c r="AR105" s="33"/>
      <c r="AS105" s="33"/>
      <c r="AT105" s="33"/>
      <c r="AU105" s="33"/>
      <c r="AV105" s="33"/>
      <c r="AW105" s="33"/>
      <c r="AX105" s="33"/>
      <c r="AY105" s="33"/>
      <c r="AZ105" s="33"/>
      <c r="BA105" s="33"/>
      <c r="BB105" s="33"/>
      <c r="BC105" s="33"/>
      <c r="BD105" s="33"/>
      <c r="BE105" s="33"/>
      <c r="BF105" s="33"/>
      <c r="BG105" s="33"/>
      <c r="BH105" s="33"/>
      <c r="BI105" s="33"/>
      <c r="BJ105" s="33"/>
      <c r="BK105" s="33"/>
    </row>
    <row r="106" spans="1:63" s="32" customFormat="1" ht="30" customHeight="1" x14ac:dyDescent="0.3">
      <c r="A106" s="79" t="s">
        <v>177</v>
      </c>
      <c r="B106" s="70" t="s">
        <v>178</v>
      </c>
      <c r="C106" s="70" t="s">
        <v>275</v>
      </c>
      <c r="D106" s="87">
        <v>0</v>
      </c>
      <c r="E106" s="92">
        <v>45773</v>
      </c>
      <c r="F106" s="92">
        <v>45774</v>
      </c>
      <c r="G106" s="59">
        <f t="shared" ref="G106:G137" si="9">IF(OR(ISBLANK(task_start),ISBLANK(task_end)),"",task_end-task_start+1)</f>
        <v>2</v>
      </c>
      <c r="H106" s="48"/>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3"/>
      <c r="AH106" s="33"/>
      <c r="AI106" s="33"/>
      <c r="AJ106" s="33"/>
      <c r="AK106" s="33"/>
      <c r="AL106" s="33"/>
      <c r="AM106" s="33"/>
      <c r="AN106" s="33"/>
      <c r="AO106" s="33"/>
      <c r="AP106" s="33"/>
      <c r="AQ106" s="33"/>
      <c r="AR106" s="33"/>
      <c r="AS106" s="33"/>
      <c r="AT106" s="33"/>
      <c r="AU106" s="33"/>
      <c r="AV106" s="33"/>
      <c r="AW106" s="33"/>
      <c r="AX106" s="33"/>
      <c r="AY106" s="33"/>
      <c r="AZ106" s="33"/>
      <c r="BA106" s="33"/>
      <c r="BB106" s="33"/>
      <c r="BC106" s="33"/>
      <c r="BD106" s="33"/>
      <c r="BE106" s="33"/>
      <c r="BF106" s="33"/>
      <c r="BG106" s="33"/>
      <c r="BH106" s="33"/>
      <c r="BI106" s="33"/>
      <c r="BJ106" s="33"/>
      <c r="BK106" s="33"/>
    </row>
    <row r="107" spans="1:63" s="32" customFormat="1" ht="30" customHeight="1" x14ac:dyDescent="0.3">
      <c r="A107" s="79">
        <v>6.3</v>
      </c>
      <c r="B107" s="70" t="s">
        <v>179</v>
      </c>
      <c r="C107" s="70" t="s">
        <v>275</v>
      </c>
      <c r="D107" s="87">
        <v>0</v>
      </c>
      <c r="E107" s="92">
        <v>45775</v>
      </c>
      <c r="F107" s="92">
        <v>45779</v>
      </c>
      <c r="G107" s="59">
        <f t="shared" si="9"/>
        <v>5</v>
      </c>
      <c r="H107" s="48"/>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c r="AG107" s="33"/>
      <c r="AH107" s="33"/>
      <c r="AI107" s="33"/>
      <c r="AJ107" s="33"/>
      <c r="AK107" s="33"/>
      <c r="AL107" s="33"/>
      <c r="AM107" s="33"/>
      <c r="AN107" s="33"/>
      <c r="AO107" s="33"/>
      <c r="AP107" s="33"/>
      <c r="AQ107" s="33"/>
      <c r="AR107" s="33"/>
      <c r="AS107" s="33"/>
      <c r="AT107" s="33"/>
      <c r="AU107" s="33"/>
      <c r="AV107" s="33"/>
      <c r="AW107" s="33"/>
      <c r="AX107" s="33"/>
      <c r="AY107" s="33"/>
      <c r="AZ107" s="33"/>
      <c r="BA107" s="33"/>
      <c r="BB107" s="33"/>
      <c r="BC107" s="33"/>
      <c r="BD107" s="33"/>
      <c r="BE107" s="33"/>
      <c r="BF107" s="33"/>
      <c r="BG107" s="33"/>
      <c r="BH107" s="33"/>
      <c r="BI107" s="33"/>
      <c r="BJ107" s="33"/>
      <c r="BK107" s="33"/>
    </row>
    <row r="108" spans="1:63" s="32" customFormat="1" ht="30" customHeight="1" x14ac:dyDescent="0.3">
      <c r="A108" s="79" t="s">
        <v>180</v>
      </c>
      <c r="B108" s="70" t="s">
        <v>181</v>
      </c>
      <c r="C108" s="70" t="s">
        <v>275</v>
      </c>
      <c r="D108" s="87">
        <v>0</v>
      </c>
      <c r="E108" s="92">
        <v>45775</v>
      </c>
      <c r="F108" s="92">
        <v>45777</v>
      </c>
      <c r="G108" s="59">
        <f t="shared" si="9"/>
        <v>3</v>
      </c>
      <c r="H108" s="48"/>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3"/>
      <c r="AK108" s="33"/>
      <c r="AL108" s="33"/>
      <c r="AM108" s="33"/>
      <c r="AN108" s="33"/>
      <c r="AO108" s="33"/>
      <c r="AP108" s="33"/>
      <c r="AQ108" s="33"/>
      <c r="AR108" s="33"/>
      <c r="AS108" s="33"/>
      <c r="AT108" s="33"/>
      <c r="AU108" s="33"/>
      <c r="AV108" s="33"/>
      <c r="AW108" s="33"/>
      <c r="AX108" s="33"/>
      <c r="AY108" s="33"/>
      <c r="AZ108" s="33"/>
      <c r="BA108" s="33"/>
      <c r="BB108" s="33"/>
      <c r="BC108" s="33"/>
      <c r="BD108" s="33"/>
      <c r="BE108" s="33"/>
      <c r="BF108" s="33"/>
      <c r="BG108" s="33"/>
      <c r="BH108" s="33"/>
      <c r="BI108" s="33"/>
      <c r="BJ108" s="33"/>
      <c r="BK108" s="33"/>
    </row>
    <row r="109" spans="1:63" s="32" customFormat="1" ht="30" customHeight="1" x14ac:dyDescent="0.3">
      <c r="A109" s="79" t="s">
        <v>182</v>
      </c>
      <c r="B109" s="70" t="s">
        <v>183</v>
      </c>
      <c r="C109" s="70" t="s">
        <v>275</v>
      </c>
      <c r="D109" s="87">
        <v>0</v>
      </c>
      <c r="E109" s="92">
        <v>45776</v>
      </c>
      <c r="F109" s="92">
        <v>45779</v>
      </c>
      <c r="G109" s="59">
        <f t="shared" si="9"/>
        <v>4</v>
      </c>
      <c r="H109" s="48"/>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3"/>
      <c r="AF109" s="33"/>
      <c r="AG109" s="33"/>
      <c r="AH109" s="33"/>
      <c r="AI109" s="33"/>
      <c r="AJ109" s="33"/>
      <c r="AK109" s="33"/>
      <c r="AL109" s="33"/>
      <c r="AM109" s="33"/>
      <c r="AN109" s="33"/>
      <c r="AO109" s="33"/>
      <c r="AP109" s="33"/>
      <c r="AQ109" s="33"/>
      <c r="AR109" s="33"/>
      <c r="AS109" s="33"/>
      <c r="AT109" s="33"/>
      <c r="AU109" s="33"/>
      <c r="AV109" s="33"/>
      <c r="AW109" s="33"/>
      <c r="AX109" s="33"/>
      <c r="AY109" s="33"/>
      <c r="AZ109" s="33"/>
      <c r="BA109" s="33"/>
      <c r="BB109" s="33"/>
      <c r="BC109" s="33"/>
      <c r="BD109" s="33"/>
      <c r="BE109" s="33"/>
      <c r="BF109" s="33"/>
      <c r="BG109" s="33"/>
      <c r="BH109" s="33"/>
      <c r="BI109" s="33"/>
      <c r="BJ109" s="33"/>
      <c r="BK109" s="33"/>
    </row>
    <row r="110" spans="1:63" s="32" customFormat="1" ht="30" customHeight="1" x14ac:dyDescent="0.3">
      <c r="A110" s="79">
        <v>6.4</v>
      </c>
      <c r="B110" s="70" t="s">
        <v>184</v>
      </c>
      <c r="C110" s="70" t="s">
        <v>275</v>
      </c>
      <c r="D110" s="87">
        <v>0</v>
      </c>
      <c r="E110" s="92">
        <v>45778</v>
      </c>
      <c r="F110" s="92">
        <v>45782</v>
      </c>
      <c r="G110" s="59">
        <f t="shared" si="9"/>
        <v>5</v>
      </c>
      <c r="H110" s="48"/>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c r="AF110" s="33"/>
      <c r="AG110" s="33"/>
      <c r="AH110" s="33"/>
      <c r="AI110" s="33"/>
      <c r="AJ110" s="33"/>
      <c r="AK110" s="33"/>
      <c r="AL110" s="33"/>
      <c r="AM110" s="33"/>
      <c r="AN110" s="33"/>
      <c r="AO110" s="33"/>
      <c r="AP110" s="33"/>
      <c r="AQ110" s="33"/>
      <c r="AR110" s="33"/>
      <c r="AS110" s="33"/>
      <c r="AT110" s="33"/>
      <c r="AU110" s="33"/>
      <c r="AV110" s="33"/>
      <c r="AW110" s="33"/>
      <c r="AX110" s="33"/>
      <c r="AY110" s="33"/>
      <c r="AZ110" s="33"/>
      <c r="BA110" s="33"/>
      <c r="BB110" s="33"/>
      <c r="BC110" s="33"/>
      <c r="BD110" s="33"/>
      <c r="BE110" s="33"/>
      <c r="BF110" s="33"/>
      <c r="BG110" s="33"/>
      <c r="BH110" s="33"/>
      <c r="BI110" s="33"/>
      <c r="BJ110" s="33"/>
      <c r="BK110" s="33"/>
    </row>
    <row r="111" spans="1:63" s="32" customFormat="1" ht="30" customHeight="1" x14ac:dyDescent="0.3">
      <c r="A111" s="79" t="s">
        <v>185</v>
      </c>
      <c r="B111" s="70" t="s">
        <v>186</v>
      </c>
      <c r="C111" s="70" t="s">
        <v>275</v>
      </c>
      <c r="D111" s="87">
        <v>0.7</v>
      </c>
      <c r="E111" s="92">
        <v>45767</v>
      </c>
      <c r="F111" s="92">
        <v>45770</v>
      </c>
      <c r="G111" s="59">
        <f t="shared" si="9"/>
        <v>4</v>
      </c>
      <c r="H111" s="48"/>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33"/>
      <c r="AJ111" s="33"/>
      <c r="AK111" s="33"/>
      <c r="AL111" s="33"/>
      <c r="AM111" s="33"/>
      <c r="AN111" s="33"/>
      <c r="AO111" s="33"/>
      <c r="AP111" s="33"/>
      <c r="AQ111" s="33"/>
      <c r="AR111" s="33"/>
      <c r="AS111" s="33"/>
      <c r="AT111" s="33"/>
      <c r="AU111" s="33"/>
      <c r="AV111" s="33"/>
      <c r="AW111" s="33"/>
      <c r="AX111" s="33"/>
      <c r="AY111" s="33"/>
      <c r="AZ111" s="33"/>
      <c r="BA111" s="33"/>
      <c r="BB111" s="33"/>
      <c r="BC111" s="33"/>
      <c r="BD111" s="33"/>
      <c r="BE111" s="33"/>
      <c r="BF111" s="33"/>
      <c r="BG111" s="33"/>
      <c r="BH111" s="33"/>
      <c r="BI111" s="33"/>
      <c r="BJ111" s="33"/>
      <c r="BK111" s="33"/>
    </row>
    <row r="112" spans="1:63" s="32" customFormat="1" ht="30" customHeight="1" x14ac:dyDescent="0.3">
      <c r="A112" s="79" t="s">
        <v>187</v>
      </c>
      <c r="B112" s="70" t="s">
        <v>188</v>
      </c>
      <c r="C112" s="70" t="s">
        <v>275</v>
      </c>
      <c r="D112" s="87">
        <v>0</v>
      </c>
      <c r="E112" s="92">
        <v>45778</v>
      </c>
      <c r="F112" s="92">
        <v>45782</v>
      </c>
      <c r="G112" s="59">
        <f t="shared" si="9"/>
        <v>5</v>
      </c>
      <c r="H112" s="48"/>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33"/>
      <c r="AJ112" s="33"/>
      <c r="AK112" s="33"/>
      <c r="AL112" s="33"/>
      <c r="AM112" s="33"/>
      <c r="AN112" s="33"/>
      <c r="AO112" s="33"/>
      <c r="AP112" s="33"/>
      <c r="AQ112" s="33"/>
      <c r="AR112" s="33"/>
      <c r="AS112" s="33"/>
      <c r="AT112" s="33"/>
      <c r="AU112" s="33"/>
      <c r="AV112" s="33"/>
      <c r="AW112" s="33"/>
      <c r="AX112" s="33"/>
      <c r="AY112" s="33"/>
      <c r="AZ112" s="33"/>
      <c r="BA112" s="33"/>
      <c r="BB112" s="33"/>
      <c r="BC112" s="33"/>
      <c r="BD112" s="33"/>
      <c r="BE112" s="33"/>
      <c r="BF112" s="33"/>
      <c r="BG112" s="33"/>
      <c r="BH112" s="33"/>
      <c r="BI112" s="33"/>
      <c r="BJ112" s="33"/>
      <c r="BK112" s="33"/>
    </row>
    <row r="113" spans="1:63" s="32" customFormat="1" ht="30" customHeight="1" x14ac:dyDescent="0.3">
      <c r="A113" s="79">
        <v>6.5</v>
      </c>
      <c r="B113" s="70" t="s">
        <v>189</v>
      </c>
      <c r="C113" s="70" t="s">
        <v>275</v>
      </c>
      <c r="D113" s="87">
        <v>0</v>
      </c>
      <c r="E113" s="92">
        <v>45780</v>
      </c>
      <c r="F113" s="92">
        <v>45781</v>
      </c>
      <c r="G113" s="59">
        <f t="shared" si="9"/>
        <v>2</v>
      </c>
      <c r="H113" s="48"/>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33"/>
      <c r="AJ113" s="33"/>
      <c r="AK113" s="33"/>
      <c r="AL113" s="33"/>
      <c r="AM113" s="33"/>
      <c r="AN113" s="33"/>
      <c r="AO113" s="33"/>
      <c r="AP113" s="33"/>
      <c r="AQ113" s="33"/>
      <c r="AR113" s="33"/>
      <c r="AS113" s="33"/>
      <c r="AT113" s="33"/>
      <c r="AU113" s="33"/>
      <c r="AV113" s="33"/>
      <c r="AW113" s="33"/>
      <c r="AX113" s="33"/>
      <c r="AY113" s="33"/>
      <c r="AZ113" s="33"/>
      <c r="BA113" s="33"/>
      <c r="BB113" s="33"/>
      <c r="BC113" s="33"/>
      <c r="BD113" s="33"/>
      <c r="BE113" s="33"/>
      <c r="BF113" s="33"/>
      <c r="BG113" s="33"/>
      <c r="BH113" s="33"/>
      <c r="BI113" s="33"/>
      <c r="BJ113" s="33"/>
      <c r="BK113" s="33"/>
    </row>
    <row r="114" spans="1:63" s="32" customFormat="1" ht="30" customHeight="1" x14ac:dyDescent="0.3">
      <c r="A114" s="79" t="s">
        <v>190</v>
      </c>
      <c r="B114" s="70" t="s">
        <v>191</v>
      </c>
      <c r="C114" s="70" t="s">
        <v>275</v>
      </c>
      <c r="D114" s="87">
        <v>0</v>
      </c>
      <c r="E114" s="92">
        <v>45780</v>
      </c>
      <c r="F114" s="92">
        <v>45780</v>
      </c>
      <c r="G114" s="59">
        <f t="shared" si="9"/>
        <v>1</v>
      </c>
      <c r="H114" s="48"/>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33"/>
      <c r="AJ114" s="33"/>
      <c r="AK114" s="33"/>
      <c r="AL114" s="33"/>
      <c r="AM114" s="33"/>
      <c r="AN114" s="33"/>
      <c r="AO114" s="33"/>
      <c r="AP114" s="33"/>
      <c r="AQ114" s="33"/>
      <c r="AR114" s="33"/>
      <c r="AS114" s="33"/>
      <c r="AT114" s="33"/>
      <c r="AU114" s="33"/>
      <c r="AV114" s="33"/>
      <c r="AW114" s="33"/>
      <c r="AX114" s="33"/>
      <c r="AY114" s="33"/>
      <c r="AZ114" s="33"/>
      <c r="BA114" s="33"/>
      <c r="BB114" s="33"/>
      <c r="BC114" s="33"/>
      <c r="BD114" s="33"/>
      <c r="BE114" s="33"/>
      <c r="BF114" s="33"/>
      <c r="BG114" s="33"/>
      <c r="BH114" s="33"/>
      <c r="BI114" s="33"/>
      <c r="BJ114" s="33"/>
      <c r="BK114" s="33"/>
    </row>
    <row r="115" spans="1:63" s="32" customFormat="1" ht="30" customHeight="1" x14ac:dyDescent="0.3">
      <c r="A115" s="79" t="s">
        <v>192</v>
      </c>
      <c r="B115" s="70" t="s">
        <v>193</v>
      </c>
      <c r="C115" s="70" t="s">
        <v>275</v>
      </c>
      <c r="D115" s="87">
        <v>0</v>
      </c>
      <c r="E115" s="92">
        <v>45780</v>
      </c>
      <c r="F115" s="92">
        <v>45781</v>
      </c>
      <c r="G115" s="59">
        <f t="shared" si="9"/>
        <v>2</v>
      </c>
      <c r="H115" s="48"/>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c r="AG115" s="33"/>
      <c r="AH115" s="33"/>
      <c r="AI115" s="33"/>
      <c r="AJ115" s="33"/>
      <c r="AK115" s="33"/>
      <c r="AL115" s="33"/>
      <c r="AM115" s="33"/>
      <c r="AN115" s="33"/>
      <c r="AO115" s="33"/>
      <c r="AP115" s="33"/>
      <c r="AQ115" s="33"/>
      <c r="AR115" s="33"/>
      <c r="AS115" s="33"/>
      <c r="AT115" s="33"/>
      <c r="AU115" s="33"/>
      <c r="AV115" s="33"/>
      <c r="AW115" s="33"/>
      <c r="AX115" s="33"/>
      <c r="AY115" s="33"/>
      <c r="AZ115" s="33"/>
      <c r="BA115" s="33"/>
      <c r="BB115" s="33"/>
      <c r="BC115" s="33"/>
      <c r="BD115" s="33"/>
      <c r="BE115" s="33"/>
      <c r="BF115" s="33"/>
      <c r="BG115" s="33"/>
      <c r="BH115" s="33"/>
      <c r="BI115" s="33"/>
      <c r="BJ115" s="33"/>
      <c r="BK115" s="33"/>
    </row>
    <row r="116" spans="1:63" s="32" customFormat="1" ht="30" customHeight="1" x14ac:dyDescent="0.3">
      <c r="A116" s="79"/>
      <c r="B116" s="70"/>
      <c r="C116" s="83"/>
      <c r="D116" s="87"/>
      <c r="E116" s="92"/>
      <c r="F116" s="92"/>
      <c r="G116" s="59" t="str">
        <f t="shared" si="9"/>
        <v/>
      </c>
      <c r="H116" s="48"/>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c r="AH116" s="33"/>
      <c r="AI116" s="33"/>
      <c r="AJ116" s="33"/>
      <c r="AK116" s="33"/>
      <c r="AL116" s="33"/>
      <c r="AM116" s="33"/>
      <c r="AN116" s="33"/>
      <c r="AO116" s="33"/>
      <c r="AP116" s="33"/>
      <c r="AQ116" s="33"/>
      <c r="AR116" s="33"/>
      <c r="AS116" s="33"/>
      <c r="AT116" s="33"/>
      <c r="AU116" s="33"/>
      <c r="AV116" s="33"/>
      <c r="AW116" s="33"/>
      <c r="AX116" s="33"/>
      <c r="AY116" s="33"/>
      <c r="AZ116" s="33"/>
      <c r="BA116" s="33"/>
      <c r="BB116" s="33"/>
      <c r="BC116" s="33"/>
      <c r="BD116" s="33"/>
      <c r="BE116" s="33"/>
      <c r="BF116" s="33"/>
      <c r="BG116" s="33"/>
      <c r="BH116" s="33"/>
      <c r="BI116" s="33"/>
      <c r="BJ116" s="33"/>
      <c r="BK116" s="33"/>
    </row>
    <row r="117" spans="1:63" s="32" customFormat="1" ht="30" customHeight="1" x14ac:dyDescent="0.4">
      <c r="A117" s="79">
        <v>7</v>
      </c>
      <c r="B117" s="76" t="s">
        <v>194</v>
      </c>
      <c r="C117" s="83"/>
      <c r="D117" s="87"/>
      <c r="E117" s="92"/>
      <c r="F117" s="92"/>
      <c r="G117" s="59" t="str">
        <f t="shared" si="9"/>
        <v/>
      </c>
      <c r="H117" s="48"/>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3"/>
      <c r="AF117" s="33"/>
      <c r="AG117" s="33"/>
      <c r="AH117" s="33"/>
      <c r="AI117" s="33"/>
      <c r="AJ117" s="33"/>
      <c r="AK117" s="33"/>
      <c r="AL117" s="33"/>
      <c r="AM117" s="33"/>
      <c r="AN117" s="33"/>
      <c r="AO117" s="33"/>
      <c r="AP117" s="33"/>
      <c r="AQ117" s="33"/>
      <c r="AR117" s="33"/>
      <c r="AS117" s="33"/>
      <c r="AT117" s="33"/>
      <c r="AU117" s="33"/>
      <c r="AV117" s="33"/>
      <c r="AW117" s="33"/>
      <c r="AX117" s="33"/>
      <c r="AY117" s="33"/>
      <c r="AZ117" s="33"/>
      <c r="BA117" s="33"/>
      <c r="BB117" s="33"/>
      <c r="BC117" s="33"/>
      <c r="BD117" s="33"/>
      <c r="BE117" s="33"/>
      <c r="BF117" s="33"/>
      <c r="BG117" s="33"/>
      <c r="BH117" s="33"/>
      <c r="BI117" s="33"/>
      <c r="BJ117" s="33"/>
      <c r="BK117" s="33"/>
    </row>
    <row r="118" spans="1:63" s="32" customFormat="1" ht="30" customHeight="1" x14ac:dyDescent="0.3">
      <c r="A118" s="79">
        <v>7.1</v>
      </c>
      <c r="B118" s="70" t="s">
        <v>195</v>
      </c>
      <c r="C118" s="70" t="s">
        <v>276</v>
      </c>
      <c r="D118" s="87">
        <v>0</v>
      </c>
      <c r="E118" s="92">
        <v>45782</v>
      </c>
      <c r="F118" s="92">
        <v>45786</v>
      </c>
      <c r="G118" s="59">
        <f t="shared" si="9"/>
        <v>5</v>
      </c>
      <c r="H118" s="48"/>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I118" s="33"/>
      <c r="AJ118" s="33"/>
      <c r="AK118" s="33"/>
      <c r="AL118" s="33"/>
      <c r="AM118" s="33"/>
      <c r="AN118" s="33"/>
      <c r="AO118" s="33"/>
      <c r="AP118" s="33"/>
      <c r="AQ118" s="33"/>
      <c r="AR118" s="33"/>
      <c r="AS118" s="33"/>
      <c r="AT118" s="33"/>
      <c r="AU118" s="33"/>
      <c r="AV118" s="33"/>
      <c r="AW118" s="33"/>
      <c r="AX118" s="33"/>
      <c r="AY118" s="33"/>
      <c r="AZ118" s="33"/>
      <c r="BA118" s="33"/>
      <c r="BB118" s="33"/>
      <c r="BC118" s="33"/>
      <c r="BD118" s="33"/>
      <c r="BE118" s="33"/>
      <c r="BF118" s="33"/>
      <c r="BG118" s="33"/>
      <c r="BH118" s="33"/>
      <c r="BI118" s="33"/>
      <c r="BJ118" s="33"/>
      <c r="BK118" s="33"/>
    </row>
    <row r="119" spans="1:63" s="32" customFormat="1" ht="30" customHeight="1" x14ac:dyDescent="0.3">
      <c r="A119" s="79" t="s">
        <v>196</v>
      </c>
      <c r="B119" s="70" t="s">
        <v>197</v>
      </c>
      <c r="C119" s="70" t="s">
        <v>276</v>
      </c>
      <c r="D119" s="87">
        <v>0</v>
      </c>
      <c r="E119" s="92">
        <v>45782</v>
      </c>
      <c r="F119" s="92">
        <v>45783</v>
      </c>
      <c r="G119" s="59">
        <f t="shared" si="9"/>
        <v>2</v>
      </c>
      <c r="H119" s="48"/>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33"/>
      <c r="AJ119" s="33"/>
      <c r="AK119" s="33"/>
      <c r="AL119" s="33"/>
      <c r="AM119" s="33"/>
      <c r="AN119" s="33"/>
      <c r="AO119" s="33"/>
      <c r="AP119" s="33"/>
      <c r="AQ119" s="33"/>
      <c r="AR119" s="33"/>
      <c r="AS119" s="33"/>
      <c r="AT119" s="33"/>
      <c r="AU119" s="33"/>
      <c r="AV119" s="33"/>
      <c r="AW119" s="33"/>
      <c r="AX119" s="33"/>
      <c r="AY119" s="33"/>
      <c r="AZ119" s="33"/>
      <c r="BA119" s="33"/>
      <c r="BB119" s="33"/>
      <c r="BC119" s="33"/>
      <c r="BD119" s="33"/>
      <c r="BE119" s="33"/>
      <c r="BF119" s="33"/>
      <c r="BG119" s="33"/>
      <c r="BH119" s="33"/>
      <c r="BI119" s="33"/>
      <c r="BJ119" s="33"/>
      <c r="BK119" s="33"/>
    </row>
    <row r="120" spans="1:63" s="32" customFormat="1" ht="30" customHeight="1" x14ac:dyDescent="0.3">
      <c r="A120" s="79" t="s">
        <v>198</v>
      </c>
      <c r="B120" s="70" t="s">
        <v>199</v>
      </c>
      <c r="C120" s="70" t="s">
        <v>276</v>
      </c>
      <c r="D120" s="87">
        <v>0</v>
      </c>
      <c r="E120" s="92">
        <v>45783</v>
      </c>
      <c r="F120" s="92">
        <v>45786</v>
      </c>
      <c r="G120" s="59">
        <f t="shared" si="9"/>
        <v>4</v>
      </c>
      <c r="H120" s="48"/>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33"/>
      <c r="AJ120" s="33"/>
      <c r="AK120" s="33"/>
      <c r="AL120" s="33"/>
      <c r="AM120" s="33"/>
      <c r="AN120" s="33"/>
      <c r="AO120" s="33"/>
      <c r="AP120" s="33"/>
      <c r="AQ120" s="33"/>
      <c r="AR120" s="33"/>
      <c r="AS120" s="33"/>
      <c r="AT120" s="33"/>
      <c r="AU120" s="33"/>
      <c r="AV120" s="33"/>
      <c r="AW120" s="33"/>
      <c r="AX120" s="33"/>
      <c r="AY120" s="33"/>
      <c r="AZ120" s="33"/>
      <c r="BA120" s="33"/>
      <c r="BB120" s="33"/>
      <c r="BC120" s="33"/>
      <c r="BD120" s="33"/>
      <c r="BE120" s="33"/>
      <c r="BF120" s="33"/>
      <c r="BG120" s="33"/>
      <c r="BH120" s="33"/>
      <c r="BI120" s="33"/>
      <c r="BJ120" s="33"/>
      <c r="BK120" s="33"/>
    </row>
    <row r="121" spans="1:63" s="32" customFormat="1" ht="30" customHeight="1" x14ac:dyDescent="0.3">
      <c r="A121" s="79">
        <v>7.2</v>
      </c>
      <c r="B121" s="70" t="s">
        <v>200</v>
      </c>
      <c r="C121" s="70" t="s">
        <v>277</v>
      </c>
      <c r="D121" s="87">
        <v>0</v>
      </c>
      <c r="E121" s="92">
        <v>45787</v>
      </c>
      <c r="F121" s="92">
        <v>45794</v>
      </c>
      <c r="G121" s="59">
        <f t="shared" si="9"/>
        <v>8</v>
      </c>
      <c r="H121" s="48"/>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33"/>
      <c r="AJ121" s="33"/>
      <c r="AK121" s="33"/>
      <c r="AL121" s="33"/>
      <c r="AM121" s="33"/>
      <c r="AN121" s="33"/>
      <c r="AO121" s="33"/>
      <c r="AP121" s="33"/>
      <c r="AQ121" s="33"/>
      <c r="AR121" s="33"/>
      <c r="AS121" s="33"/>
      <c r="AT121" s="33"/>
      <c r="AU121" s="33"/>
      <c r="AV121" s="33"/>
      <c r="AW121" s="33"/>
      <c r="AX121" s="33"/>
      <c r="AY121" s="33"/>
      <c r="AZ121" s="33"/>
      <c r="BA121" s="33"/>
      <c r="BB121" s="33"/>
      <c r="BC121" s="33"/>
      <c r="BD121" s="33"/>
      <c r="BE121" s="33"/>
      <c r="BF121" s="33"/>
      <c r="BG121" s="33"/>
      <c r="BH121" s="33"/>
      <c r="BI121" s="33"/>
      <c r="BJ121" s="33"/>
      <c r="BK121" s="33"/>
    </row>
    <row r="122" spans="1:63" s="32" customFormat="1" ht="30" customHeight="1" x14ac:dyDescent="0.3">
      <c r="A122" s="79" t="s">
        <v>201</v>
      </c>
      <c r="B122" s="70" t="s">
        <v>202</v>
      </c>
      <c r="C122" s="70" t="s">
        <v>277</v>
      </c>
      <c r="D122" s="87">
        <v>0</v>
      </c>
      <c r="E122" s="92">
        <v>45787</v>
      </c>
      <c r="F122" s="92">
        <v>45788</v>
      </c>
      <c r="G122" s="59">
        <f t="shared" si="9"/>
        <v>2</v>
      </c>
      <c r="H122" s="48"/>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33"/>
      <c r="AJ122" s="33"/>
      <c r="AK122" s="33"/>
      <c r="AL122" s="33"/>
      <c r="AM122" s="33"/>
      <c r="AN122" s="33"/>
      <c r="AO122" s="33"/>
      <c r="AP122" s="33"/>
      <c r="AQ122" s="33"/>
      <c r="AR122" s="33"/>
      <c r="AS122" s="33"/>
      <c r="AT122" s="33"/>
      <c r="AU122" s="33"/>
      <c r="AV122" s="33"/>
      <c r="AW122" s="33"/>
      <c r="AX122" s="33"/>
      <c r="AY122" s="33"/>
      <c r="AZ122" s="33"/>
      <c r="BA122" s="33"/>
      <c r="BB122" s="33"/>
      <c r="BC122" s="33"/>
      <c r="BD122" s="33"/>
      <c r="BE122" s="33"/>
      <c r="BF122" s="33"/>
      <c r="BG122" s="33"/>
      <c r="BH122" s="33"/>
      <c r="BI122" s="33"/>
      <c r="BJ122" s="33"/>
      <c r="BK122" s="33"/>
    </row>
    <row r="123" spans="1:63" s="32" customFormat="1" ht="30" customHeight="1" x14ac:dyDescent="0.3">
      <c r="A123" s="79" t="s">
        <v>203</v>
      </c>
      <c r="B123" s="70" t="s">
        <v>204</v>
      </c>
      <c r="C123" s="70" t="s">
        <v>277</v>
      </c>
      <c r="D123" s="87">
        <v>0</v>
      </c>
      <c r="E123" s="92">
        <v>45788</v>
      </c>
      <c r="F123" s="92">
        <v>45794</v>
      </c>
      <c r="G123" s="59">
        <f t="shared" si="9"/>
        <v>7</v>
      </c>
      <c r="H123" s="48"/>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c r="AF123" s="33"/>
      <c r="AG123" s="33"/>
      <c r="AH123" s="33"/>
      <c r="AI123" s="33"/>
      <c r="AJ123" s="33"/>
      <c r="AK123" s="33"/>
      <c r="AL123" s="33"/>
      <c r="AM123" s="33"/>
      <c r="AN123" s="33"/>
      <c r="AO123" s="33"/>
      <c r="AP123" s="33"/>
      <c r="AQ123" s="33"/>
      <c r="AR123" s="33"/>
      <c r="AS123" s="33"/>
      <c r="AT123" s="33"/>
      <c r="AU123" s="33"/>
      <c r="AV123" s="33"/>
      <c r="AW123" s="33"/>
      <c r="AX123" s="33"/>
      <c r="AY123" s="33"/>
      <c r="AZ123" s="33"/>
      <c r="BA123" s="33"/>
      <c r="BB123" s="33"/>
      <c r="BC123" s="33"/>
      <c r="BD123" s="33"/>
      <c r="BE123" s="33"/>
      <c r="BF123" s="33"/>
      <c r="BG123" s="33"/>
      <c r="BH123" s="33"/>
      <c r="BI123" s="33"/>
      <c r="BJ123" s="33"/>
      <c r="BK123" s="33"/>
    </row>
    <row r="124" spans="1:63" s="32" customFormat="1" ht="30" customHeight="1" x14ac:dyDescent="0.3">
      <c r="A124" s="79">
        <v>7.3</v>
      </c>
      <c r="B124" s="70" t="s">
        <v>205</v>
      </c>
      <c r="C124" s="70" t="s">
        <v>276</v>
      </c>
      <c r="D124" s="87">
        <v>0</v>
      </c>
      <c r="E124" s="92">
        <v>45787</v>
      </c>
      <c r="F124" s="92">
        <v>45797</v>
      </c>
      <c r="G124" s="59">
        <f t="shared" si="9"/>
        <v>11</v>
      </c>
      <c r="H124" s="48"/>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c r="AF124" s="33"/>
      <c r="AG124" s="33"/>
      <c r="AH124" s="33"/>
      <c r="AI124" s="33"/>
      <c r="AJ124" s="33"/>
      <c r="AK124" s="33"/>
      <c r="AL124" s="33"/>
      <c r="AM124" s="33"/>
      <c r="AN124" s="33"/>
      <c r="AO124" s="33"/>
      <c r="AP124" s="33"/>
      <c r="AQ124" s="33"/>
      <c r="AR124" s="33"/>
      <c r="AS124" s="33"/>
      <c r="AT124" s="33"/>
      <c r="AU124" s="33"/>
      <c r="AV124" s="33"/>
      <c r="AW124" s="33"/>
      <c r="AX124" s="33"/>
      <c r="AY124" s="33"/>
      <c r="AZ124" s="33"/>
      <c r="BA124" s="33"/>
      <c r="BB124" s="33"/>
      <c r="BC124" s="33"/>
      <c r="BD124" s="33"/>
      <c r="BE124" s="33"/>
      <c r="BF124" s="33"/>
      <c r="BG124" s="33"/>
      <c r="BH124" s="33"/>
      <c r="BI124" s="33"/>
      <c r="BJ124" s="33"/>
      <c r="BK124" s="33"/>
    </row>
    <row r="125" spans="1:63" s="32" customFormat="1" ht="30" customHeight="1" x14ac:dyDescent="0.3">
      <c r="A125" s="79" t="s">
        <v>206</v>
      </c>
      <c r="B125" s="70" t="s">
        <v>207</v>
      </c>
      <c r="C125" s="70" t="s">
        <v>276</v>
      </c>
      <c r="D125" s="87">
        <v>0</v>
      </c>
      <c r="E125" s="92">
        <v>45787</v>
      </c>
      <c r="F125" s="92">
        <v>45792</v>
      </c>
      <c r="G125" s="59">
        <f t="shared" si="9"/>
        <v>6</v>
      </c>
      <c r="H125" s="48"/>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c r="AG125" s="33"/>
      <c r="AH125" s="33"/>
      <c r="AI125" s="33"/>
      <c r="AJ125" s="33"/>
      <c r="AK125" s="33"/>
      <c r="AL125" s="33"/>
      <c r="AM125" s="33"/>
      <c r="AN125" s="33"/>
      <c r="AO125" s="33"/>
      <c r="AP125" s="33"/>
      <c r="AQ125" s="33"/>
      <c r="AR125" s="33"/>
      <c r="AS125" s="33"/>
      <c r="AT125" s="33"/>
      <c r="AU125" s="33"/>
      <c r="AV125" s="33"/>
      <c r="AW125" s="33"/>
      <c r="AX125" s="33"/>
      <c r="AY125" s="33"/>
      <c r="AZ125" s="33"/>
      <c r="BA125" s="33"/>
      <c r="BB125" s="33"/>
      <c r="BC125" s="33"/>
      <c r="BD125" s="33"/>
      <c r="BE125" s="33"/>
      <c r="BF125" s="33"/>
      <c r="BG125" s="33"/>
      <c r="BH125" s="33"/>
      <c r="BI125" s="33"/>
      <c r="BJ125" s="33"/>
      <c r="BK125" s="33"/>
    </row>
    <row r="126" spans="1:63" s="32" customFormat="1" ht="30" customHeight="1" x14ac:dyDescent="0.3">
      <c r="A126" s="79" t="s">
        <v>208</v>
      </c>
      <c r="B126" s="70" t="s">
        <v>209</v>
      </c>
      <c r="C126" s="70" t="s">
        <v>276</v>
      </c>
      <c r="D126" s="87">
        <v>0</v>
      </c>
      <c r="E126" s="92">
        <v>45788</v>
      </c>
      <c r="F126" s="92">
        <v>45797</v>
      </c>
      <c r="G126" s="59">
        <f t="shared" si="9"/>
        <v>10</v>
      </c>
      <c r="H126" s="48"/>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c r="AF126" s="33"/>
      <c r="AG126" s="33"/>
      <c r="AH126" s="33"/>
      <c r="AI126" s="33"/>
      <c r="AJ126" s="33"/>
      <c r="AK126" s="33"/>
      <c r="AL126" s="33"/>
      <c r="AM126" s="33"/>
      <c r="AN126" s="33"/>
      <c r="AO126" s="33"/>
      <c r="AP126" s="33"/>
      <c r="AQ126" s="33"/>
      <c r="AR126" s="33"/>
      <c r="AS126" s="33"/>
      <c r="AT126" s="33"/>
      <c r="AU126" s="33"/>
      <c r="AV126" s="33"/>
      <c r="AW126" s="33"/>
      <c r="AX126" s="33"/>
      <c r="AY126" s="33"/>
      <c r="AZ126" s="33"/>
      <c r="BA126" s="33"/>
      <c r="BB126" s="33"/>
      <c r="BC126" s="33"/>
      <c r="BD126" s="33"/>
      <c r="BE126" s="33"/>
      <c r="BF126" s="33"/>
      <c r="BG126" s="33"/>
      <c r="BH126" s="33"/>
      <c r="BI126" s="33"/>
      <c r="BJ126" s="33"/>
      <c r="BK126" s="33"/>
    </row>
    <row r="127" spans="1:63" s="32" customFormat="1" ht="30" customHeight="1" x14ac:dyDescent="0.3">
      <c r="A127" s="79">
        <v>7.4</v>
      </c>
      <c r="B127" s="70" t="s">
        <v>210</v>
      </c>
      <c r="C127" s="70" t="s">
        <v>277</v>
      </c>
      <c r="D127" s="87">
        <v>0</v>
      </c>
      <c r="E127" s="92">
        <v>45778</v>
      </c>
      <c r="F127" s="92">
        <v>45797</v>
      </c>
      <c r="G127" s="59">
        <f t="shared" si="9"/>
        <v>20</v>
      </c>
      <c r="H127" s="48"/>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c r="AJ127" s="33"/>
      <c r="AK127" s="33"/>
      <c r="AL127" s="33"/>
      <c r="AM127" s="33"/>
      <c r="AN127" s="33"/>
      <c r="AO127" s="33"/>
      <c r="AP127" s="33"/>
      <c r="AQ127" s="33"/>
      <c r="AR127" s="33"/>
      <c r="AS127" s="33"/>
      <c r="AT127" s="33"/>
      <c r="AU127" s="33"/>
      <c r="AV127" s="33"/>
      <c r="AW127" s="33"/>
      <c r="AX127" s="33"/>
      <c r="AY127" s="33"/>
      <c r="AZ127" s="33"/>
      <c r="BA127" s="33"/>
      <c r="BB127" s="33"/>
      <c r="BC127" s="33"/>
      <c r="BD127" s="33"/>
      <c r="BE127" s="33"/>
      <c r="BF127" s="33"/>
      <c r="BG127" s="33"/>
      <c r="BH127" s="33"/>
      <c r="BI127" s="33"/>
      <c r="BJ127" s="33"/>
      <c r="BK127" s="33"/>
    </row>
    <row r="128" spans="1:63" s="32" customFormat="1" ht="30" customHeight="1" x14ac:dyDescent="0.3">
      <c r="A128" s="79" t="s">
        <v>211</v>
      </c>
      <c r="B128" s="70" t="s">
        <v>212</v>
      </c>
      <c r="C128" s="70" t="s">
        <v>277</v>
      </c>
      <c r="D128" s="87">
        <v>0</v>
      </c>
      <c r="E128" s="92">
        <v>45778</v>
      </c>
      <c r="F128" s="92">
        <v>45781</v>
      </c>
      <c r="G128" s="59">
        <f t="shared" si="9"/>
        <v>4</v>
      </c>
      <c r="H128" s="48"/>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33"/>
      <c r="AJ128" s="33"/>
      <c r="AK128" s="33"/>
      <c r="AL128" s="33"/>
      <c r="AM128" s="33"/>
      <c r="AN128" s="33"/>
      <c r="AO128" s="33"/>
      <c r="AP128" s="33"/>
      <c r="AQ128" s="33"/>
      <c r="AR128" s="33"/>
      <c r="AS128" s="33"/>
      <c r="AT128" s="33"/>
      <c r="AU128" s="33"/>
      <c r="AV128" s="33"/>
      <c r="AW128" s="33"/>
      <c r="AX128" s="33"/>
      <c r="AY128" s="33"/>
      <c r="AZ128" s="33"/>
      <c r="BA128" s="33"/>
      <c r="BB128" s="33"/>
      <c r="BC128" s="33"/>
      <c r="BD128" s="33"/>
      <c r="BE128" s="33"/>
      <c r="BF128" s="33"/>
      <c r="BG128" s="33"/>
      <c r="BH128" s="33"/>
      <c r="BI128" s="33"/>
      <c r="BJ128" s="33"/>
      <c r="BK128" s="33"/>
    </row>
    <row r="129" spans="1:63" s="32" customFormat="1" ht="30" customHeight="1" x14ac:dyDescent="0.3">
      <c r="A129" s="79" t="s">
        <v>213</v>
      </c>
      <c r="B129" s="70" t="s">
        <v>214</v>
      </c>
      <c r="C129" s="70" t="s">
        <v>277</v>
      </c>
      <c r="D129" s="87">
        <v>0</v>
      </c>
      <c r="E129" s="92">
        <v>45780</v>
      </c>
      <c r="F129" s="92">
        <v>45797</v>
      </c>
      <c r="G129" s="59">
        <f t="shared" si="9"/>
        <v>18</v>
      </c>
      <c r="H129" s="48"/>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33"/>
      <c r="AJ129" s="33"/>
      <c r="AK129" s="33"/>
      <c r="AL129" s="33"/>
      <c r="AM129" s="33"/>
      <c r="AN129" s="33"/>
      <c r="AO129" s="33"/>
      <c r="AP129" s="33"/>
      <c r="AQ129" s="33"/>
      <c r="AR129" s="33"/>
      <c r="AS129" s="33"/>
      <c r="AT129" s="33"/>
      <c r="AU129" s="33"/>
      <c r="AV129" s="33"/>
      <c r="AW129" s="33"/>
      <c r="AX129" s="33"/>
      <c r="AY129" s="33"/>
      <c r="AZ129" s="33"/>
      <c r="BA129" s="33"/>
      <c r="BB129" s="33"/>
      <c r="BC129" s="33"/>
      <c r="BD129" s="33"/>
      <c r="BE129" s="33"/>
      <c r="BF129" s="33"/>
      <c r="BG129" s="33"/>
      <c r="BH129" s="33"/>
      <c r="BI129" s="33"/>
      <c r="BJ129" s="33"/>
      <c r="BK129" s="33"/>
    </row>
    <row r="130" spans="1:63" s="32" customFormat="1" ht="30" customHeight="1" x14ac:dyDescent="0.3">
      <c r="A130" s="79">
        <v>7.5</v>
      </c>
      <c r="B130" s="70" t="s">
        <v>215</v>
      </c>
      <c r="C130" s="70" t="s">
        <v>277</v>
      </c>
      <c r="D130" s="87">
        <v>0</v>
      </c>
      <c r="E130" s="92">
        <v>45797</v>
      </c>
      <c r="F130" s="92">
        <v>45799</v>
      </c>
      <c r="G130" s="59">
        <f t="shared" si="9"/>
        <v>3</v>
      </c>
      <c r="H130" s="48"/>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c r="AJ130" s="33"/>
      <c r="AK130" s="33"/>
      <c r="AL130" s="33"/>
      <c r="AM130" s="33"/>
      <c r="AN130" s="33"/>
      <c r="AO130" s="33"/>
      <c r="AP130" s="33"/>
      <c r="AQ130" s="33"/>
      <c r="AR130" s="33"/>
      <c r="AS130" s="33"/>
      <c r="AT130" s="33"/>
      <c r="AU130" s="33"/>
      <c r="AV130" s="33"/>
      <c r="AW130" s="33"/>
      <c r="AX130" s="33"/>
      <c r="AY130" s="33"/>
      <c r="AZ130" s="33"/>
      <c r="BA130" s="33"/>
      <c r="BB130" s="33"/>
      <c r="BC130" s="33"/>
      <c r="BD130" s="33"/>
      <c r="BE130" s="33"/>
      <c r="BF130" s="33"/>
      <c r="BG130" s="33"/>
      <c r="BH130" s="33"/>
      <c r="BI130" s="33"/>
      <c r="BJ130" s="33"/>
      <c r="BK130" s="33"/>
    </row>
    <row r="131" spans="1:63" s="32" customFormat="1" ht="30" customHeight="1" x14ac:dyDescent="0.3">
      <c r="A131" s="79" t="s">
        <v>216</v>
      </c>
      <c r="B131" s="70" t="s">
        <v>217</v>
      </c>
      <c r="C131" s="70" t="s">
        <v>277</v>
      </c>
      <c r="D131" s="87">
        <v>0</v>
      </c>
      <c r="E131" s="92">
        <v>45797</v>
      </c>
      <c r="F131" s="92">
        <v>45798</v>
      </c>
      <c r="G131" s="59">
        <f t="shared" si="9"/>
        <v>2</v>
      </c>
      <c r="H131" s="48"/>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c r="AF131" s="33"/>
      <c r="AG131" s="33"/>
      <c r="AH131" s="33"/>
      <c r="AI131" s="33"/>
      <c r="AJ131" s="33"/>
      <c r="AK131" s="33"/>
      <c r="AL131" s="33"/>
      <c r="AM131" s="33"/>
      <c r="AN131" s="33"/>
      <c r="AO131" s="33"/>
      <c r="AP131" s="33"/>
      <c r="AQ131" s="33"/>
      <c r="AR131" s="33"/>
      <c r="AS131" s="33"/>
      <c r="AT131" s="33"/>
      <c r="AU131" s="33"/>
      <c r="AV131" s="33"/>
      <c r="AW131" s="33"/>
      <c r="AX131" s="33"/>
      <c r="AY131" s="33"/>
      <c r="AZ131" s="33"/>
      <c r="BA131" s="33"/>
      <c r="BB131" s="33"/>
      <c r="BC131" s="33"/>
      <c r="BD131" s="33"/>
      <c r="BE131" s="33"/>
      <c r="BF131" s="33"/>
      <c r="BG131" s="33"/>
      <c r="BH131" s="33"/>
      <c r="BI131" s="33"/>
      <c r="BJ131" s="33"/>
      <c r="BK131" s="33"/>
    </row>
    <row r="132" spans="1:63" s="32" customFormat="1" ht="30" customHeight="1" x14ac:dyDescent="0.3">
      <c r="A132" s="79" t="s">
        <v>218</v>
      </c>
      <c r="B132" s="70" t="s">
        <v>219</v>
      </c>
      <c r="C132" s="70" t="s">
        <v>277</v>
      </c>
      <c r="D132" s="87">
        <v>0</v>
      </c>
      <c r="E132" s="92">
        <v>45798</v>
      </c>
      <c r="F132" s="92">
        <v>45799</v>
      </c>
      <c r="G132" s="59">
        <f t="shared" si="9"/>
        <v>2</v>
      </c>
      <c r="H132" s="48"/>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c r="AL132" s="33"/>
      <c r="AM132" s="33"/>
      <c r="AN132" s="33"/>
      <c r="AO132" s="33"/>
      <c r="AP132" s="33"/>
      <c r="AQ132" s="33"/>
      <c r="AR132" s="33"/>
      <c r="AS132" s="33"/>
      <c r="AT132" s="33"/>
      <c r="AU132" s="33"/>
      <c r="AV132" s="33"/>
      <c r="AW132" s="33"/>
      <c r="AX132" s="33"/>
      <c r="AY132" s="33"/>
      <c r="AZ132" s="33"/>
      <c r="BA132" s="33"/>
      <c r="BB132" s="33"/>
      <c r="BC132" s="33"/>
      <c r="BD132" s="33"/>
      <c r="BE132" s="33"/>
      <c r="BF132" s="33"/>
      <c r="BG132" s="33"/>
      <c r="BH132" s="33"/>
      <c r="BI132" s="33"/>
      <c r="BJ132" s="33"/>
      <c r="BK132" s="33"/>
    </row>
    <row r="133" spans="1:63" s="32" customFormat="1" ht="30" customHeight="1" x14ac:dyDescent="0.3">
      <c r="A133" s="79"/>
      <c r="B133" s="70"/>
      <c r="C133" s="83"/>
      <c r="D133" s="87"/>
      <c r="E133" s="92"/>
      <c r="F133" s="92"/>
      <c r="G133" s="59" t="str">
        <f t="shared" si="9"/>
        <v/>
      </c>
      <c r="H133" s="48"/>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c r="AK133" s="33"/>
      <c r="AL133" s="33"/>
      <c r="AM133" s="33"/>
      <c r="AN133" s="33"/>
      <c r="AO133" s="33"/>
      <c r="AP133" s="33"/>
      <c r="AQ133" s="33"/>
      <c r="AR133" s="33"/>
      <c r="AS133" s="33"/>
      <c r="AT133" s="33"/>
      <c r="AU133" s="33"/>
      <c r="AV133" s="33"/>
      <c r="AW133" s="33"/>
      <c r="AX133" s="33"/>
      <c r="AY133" s="33"/>
      <c r="AZ133" s="33"/>
      <c r="BA133" s="33"/>
      <c r="BB133" s="33"/>
      <c r="BC133" s="33"/>
      <c r="BD133" s="33"/>
      <c r="BE133" s="33"/>
      <c r="BF133" s="33"/>
      <c r="BG133" s="33"/>
      <c r="BH133" s="33"/>
      <c r="BI133" s="33"/>
      <c r="BJ133" s="33"/>
      <c r="BK133" s="33"/>
    </row>
    <row r="134" spans="1:63" s="32" customFormat="1" ht="30" customHeight="1" x14ac:dyDescent="0.4">
      <c r="A134" s="79">
        <v>8</v>
      </c>
      <c r="B134" s="76" t="s">
        <v>220</v>
      </c>
      <c r="C134" s="83"/>
      <c r="D134" s="87"/>
      <c r="E134" s="92"/>
      <c r="F134" s="92"/>
      <c r="G134" s="59" t="str">
        <f t="shared" si="9"/>
        <v/>
      </c>
      <c r="H134" s="48"/>
      <c r="I134" s="33"/>
      <c r="J134" s="33"/>
      <c r="K134" s="33"/>
      <c r="L134" s="33"/>
      <c r="M134" s="33"/>
      <c r="N134" s="33"/>
      <c r="O134" s="33"/>
      <c r="P134" s="33"/>
      <c r="Q134" s="33"/>
      <c r="R134" s="33"/>
      <c r="S134" s="33"/>
      <c r="T134" s="33"/>
      <c r="U134" s="33"/>
      <c r="V134" s="33"/>
      <c r="W134" s="33"/>
      <c r="X134" s="33"/>
      <c r="Y134" s="33"/>
      <c r="Z134" s="33"/>
      <c r="AA134" s="33"/>
      <c r="AB134" s="33"/>
      <c r="AC134" s="33"/>
      <c r="AD134" s="33"/>
      <c r="AE134" s="33"/>
      <c r="AF134" s="33"/>
      <c r="AG134" s="33"/>
      <c r="AH134" s="33"/>
      <c r="AI134" s="33"/>
      <c r="AJ134" s="33"/>
      <c r="AK134" s="33"/>
      <c r="AL134" s="33"/>
      <c r="AM134" s="33"/>
      <c r="AN134" s="33"/>
      <c r="AO134" s="33"/>
      <c r="AP134" s="33"/>
      <c r="AQ134" s="33"/>
      <c r="AR134" s="33"/>
      <c r="AS134" s="33"/>
      <c r="AT134" s="33"/>
      <c r="AU134" s="33"/>
      <c r="AV134" s="33"/>
      <c r="AW134" s="33"/>
      <c r="AX134" s="33"/>
      <c r="AY134" s="33"/>
      <c r="AZ134" s="33"/>
      <c r="BA134" s="33"/>
      <c r="BB134" s="33"/>
      <c r="BC134" s="33"/>
      <c r="BD134" s="33"/>
      <c r="BE134" s="33"/>
      <c r="BF134" s="33"/>
      <c r="BG134" s="33"/>
      <c r="BH134" s="33"/>
      <c r="BI134" s="33"/>
      <c r="BJ134" s="33"/>
      <c r="BK134" s="33"/>
    </row>
    <row r="135" spans="1:63" s="32" customFormat="1" ht="30" customHeight="1" x14ac:dyDescent="0.35">
      <c r="A135" s="79">
        <v>8.1</v>
      </c>
      <c r="B135" s="78" t="s">
        <v>221</v>
      </c>
      <c r="C135" s="70" t="s">
        <v>278</v>
      </c>
      <c r="D135" s="87">
        <v>0</v>
      </c>
      <c r="E135" s="92">
        <v>45805</v>
      </c>
      <c r="F135" s="92">
        <v>45807</v>
      </c>
      <c r="G135" s="59">
        <f t="shared" si="9"/>
        <v>3</v>
      </c>
      <c r="H135" s="48"/>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c r="AJ135" s="33"/>
      <c r="AK135" s="33"/>
      <c r="AL135" s="33"/>
      <c r="AM135" s="33"/>
      <c r="AN135" s="33"/>
      <c r="AO135" s="33"/>
      <c r="AP135" s="33"/>
      <c r="AQ135" s="33"/>
      <c r="AR135" s="33"/>
      <c r="AS135" s="33"/>
      <c r="AT135" s="33"/>
      <c r="AU135" s="33"/>
      <c r="AV135" s="33"/>
      <c r="AW135" s="33"/>
      <c r="AX135" s="33"/>
      <c r="AY135" s="33"/>
      <c r="AZ135" s="33"/>
      <c r="BA135" s="33"/>
      <c r="BB135" s="33"/>
      <c r="BC135" s="33"/>
      <c r="BD135" s="33"/>
      <c r="BE135" s="33"/>
      <c r="BF135" s="33"/>
      <c r="BG135" s="33"/>
      <c r="BH135" s="33"/>
      <c r="BI135" s="33"/>
      <c r="BJ135" s="33"/>
      <c r="BK135" s="33"/>
    </row>
    <row r="136" spans="1:63" s="32" customFormat="1" ht="30" customHeight="1" x14ac:dyDescent="0.3">
      <c r="A136" s="79" t="s">
        <v>222</v>
      </c>
      <c r="B136" s="70" t="s">
        <v>223</v>
      </c>
      <c r="C136" s="70" t="s">
        <v>278</v>
      </c>
      <c r="D136" s="87">
        <v>0</v>
      </c>
      <c r="E136" s="92">
        <v>45805</v>
      </c>
      <c r="F136" s="92">
        <v>45806</v>
      </c>
      <c r="G136" s="59">
        <f t="shared" si="9"/>
        <v>2</v>
      </c>
      <c r="H136" s="48"/>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33"/>
      <c r="AJ136" s="33"/>
      <c r="AK136" s="33"/>
      <c r="AL136" s="33"/>
      <c r="AM136" s="33"/>
      <c r="AN136" s="33"/>
      <c r="AO136" s="33"/>
      <c r="AP136" s="33"/>
      <c r="AQ136" s="33"/>
      <c r="AR136" s="33"/>
      <c r="AS136" s="33"/>
      <c r="AT136" s="33"/>
      <c r="AU136" s="33"/>
      <c r="AV136" s="33"/>
      <c r="AW136" s="33"/>
      <c r="AX136" s="33"/>
      <c r="AY136" s="33"/>
      <c r="AZ136" s="33"/>
      <c r="BA136" s="33"/>
      <c r="BB136" s="33"/>
      <c r="BC136" s="33"/>
      <c r="BD136" s="33"/>
      <c r="BE136" s="33"/>
      <c r="BF136" s="33"/>
      <c r="BG136" s="33"/>
      <c r="BH136" s="33"/>
      <c r="BI136" s="33"/>
      <c r="BJ136" s="33"/>
      <c r="BK136" s="33"/>
    </row>
    <row r="137" spans="1:63" s="32" customFormat="1" ht="30" customHeight="1" x14ac:dyDescent="0.3">
      <c r="A137" s="79" t="s">
        <v>224</v>
      </c>
      <c r="B137" s="70" t="s">
        <v>225</v>
      </c>
      <c r="C137" s="70" t="s">
        <v>278</v>
      </c>
      <c r="D137" s="87">
        <v>0</v>
      </c>
      <c r="E137" s="92">
        <v>45806</v>
      </c>
      <c r="F137" s="92">
        <v>45807</v>
      </c>
      <c r="G137" s="59">
        <f t="shared" si="9"/>
        <v>2</v>
      </c>
      <c r="H137" s="48"/>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33"/>
      <c r="AU137" s="33"/>
      <c r="AV137" s="33"/>
      <c r="AW137" s="33"/>
      <c r="AX137" s="33"/>
      <c r="AY137" s="33"/>
      <c r="AZ137" s="33"/>
      <c r="BA137" s="33"/>
      <c r="BB137" s="33"/>
      <c r="BC137" s="33"/>
      <c r="BD137" s="33"/>
      <c r="BE137" s="33"/>
      <c r="BF137" s="33"/>
      <c r="BG137" s="33"/>
      <c r="BH137" s="33"/>
      <c r="BI137" s="33"/>
      <c r="BJ137" s="33"/>
      <c r="BK137" s="33"/>
    </row>
    <row r="138" spans="1:63" s="32" customFormat="1" ht="30" customHeight="1" x14ac:dyDescent="0.3">
      <c r="A138" s="79">
        <v>8.1999999999999993</v>
      </c>
      <c r="B138" s="70" t="s">
        <v>226</v>
      </c>
      <c r="C138" s="70" t="s">
        <v>278</v>
      </c>
      <c r="D138" s="87">
        <v>0</v>
      </c>
      <c r="E138" s="92">
        <v>45808</v>
      </c>
      <c r="F138" s="92">
        <v>45809</v>
      </c>
      <c r="G138" s="59">
        <f t="shared" ref="G138:G160" si="10">IF(OR(ISBLANK(task_start),ISBLANK(task_end)),"",task_end-task_start+1)</f>
        <v>2</v>
      </c>
      <c r="H138" s="48"/>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33"/>
      <c r="AJ138" s="33"/>
      <c r="AK138" s="33"/>
      <c r="AL138" s="33"/>
      <c r="AM138" s="33"/>
      <c r="AN138" s="33"/>
      <c r="AO138" s="33"/>
      <c r="AP138" s="33"/>
      <c r="AQ138" s="33"/>
      <c r="AR138" s="33"/>
      <c r="AS138" s="33"/>
      <c r="AT138" s="33"/>
      <c r="AU138" s="33"/>
      <c r="AV138" s="33"/>
      <c r="AW138" s="33"/>
      <c r="AX138" s="33"/>
      <c r="AY138" s="33"/>
      <c r="AZ138" s="33"/>
      <c r="BA138" s="33"/>
      <c r="BB138" s="33"/>
      <c r="BC138" s="33"/>
      <c r="BD138" s="33"/>
      <c r="BE138" s="33"/>
      <c r="BF138" s="33"/>
      <c r="BG138" s="33"/>
      <c r="BH138" s="33"/>
      <c r="BI138" s="33"/>
      <c r="BJ138" s="33"/>
      <c r="BK138" s="33"/>
    </row>
    <row r="139" spans="1:63" s="32" customFormat="1" ht="30" customHeight="1" x14ac:dyDescent="0.3">
      <c r="A139" s="79" t="s">
        <v>227</v>
      </c>
      <c r="B139" s="70" t="s">
        <v>228</v>
      </c>
      <c r="C139" s="70" t="s">
        <v>278</v>
      </c>
      <c r="D139" s="87">
        <v>0</v>
      </c>
      <c r="E139" s="92">
        <v>45808</v>
      </c>
      <c r="F139" s="92">
        <v>45808</v>
      </c>
      <c r="G139" s="59">
        <f t="shared" si="10"/>
        <v>1</v>
      </c>
      <c r="H139" s="48"/>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c r="AK139" s="33"/>
      <c r="AL139" s="33"/>
      <c r="AM139" s="33"/>
      <c r="AN139" s="33"/>
      <c r="AO139" s="33"/>
      <c r="AP139" s="33"/>
      <c r="AQ139" s="33"/>
      <c r="AR139" s="33"/>
      <c r="AS139" s="33"/>
      <c r="AT139" s="33"/>
      <c r="AU139" s="33"/>
      <c r="AV139" s="33"/>
      <c r="AW139" s="33"/>
      <c r="AX139" s="33"/>
      <c r="AY139" s="33"/>
      <c r="AZ139" s="33"/>
      <c r="BA139" s="33"/>
      <c r="BB139" s="33"/>
      <c r="BC139" s="33"/>
      <c r="BD139" s="33"/>
      <c r="BE139" s="33"/>
      <c r="BF139" s="33"/>
      <c r="BG139" s="33"/>
      <c r="BH139" s="33"/>
      <c r="BI139" s="33"/>
      <c r="BJ139" s="33"/>
      <c r="BK139" s="33"/>
    </row>
    <row r="140" spans="1:63" s="32" customFormat="1" ht="30" customHeight="1" x14ac:dyDescent="0.3">
      <c r="A140" s="79" t="s">
        <v>229</v>
      </c>
      <c r="B140" s="70" t="s">
        <v>230</v>
      </c>
      <c r="C140" s="70" t="s">
        <v>278</v>
      </c>
      <c r="D140" s="87">
        <v>0</v>
      </c>
      <c r="E140" s="92">
        <v>45809</v>
      </c>
      <c r="F140" s="92">
        <v>45809</v>
      </c>
      <c r="G140" s="59">
        <f t="shared" si="10"/>
        <v>1</v>
      </c>
      <c r="H140" s="48"/>
      <c r="I140" s="33"/>
      <c r="J140" s="33"/>
      <c r="K140" s="33"/>
      <c r="L140" s="33"/>
      <c r="M140" s="33"/>
      <c r="N140" s="33"/>
      <c r="O140" s="33"/>
      <c r="P140" s="33"/>
      <c r="Q140" s="33"/>
      <c r="R140" s="33"/>
      <c r="S140" s="33"/>
      <c r="T140" s="33"/>
      <c r="U140" s="33"/>
      <c r="V140" s="33"/>
      <c r="W140" s="33"/>
      <c r="X140" s="33"/>
      <c r="Y140" s="33"/>
      <c r="Z140" s="33"/>
      <c r="AA140" s="33"/>
      <c r="AB140" s="33"/>
      <c r="AC140" s="33"/>
      <c r="AD140" s="33"/>
      <c r="AE140" s="33"/>
      <c r="AF140" s="33"/>
      <c r="AG140" s="33"/>
      <c r="AH140" s="33"/>
      <c r="AI140" s="33"/>
      <c r="AJ140" s="33"/>
      <c r="AK140" s="33"/>
      <c r="AL140" s="33"/>
      <c r="AM140" s="33"/>
      <c r="AN140" s="33"/>
      <c r="AO140" s="33"/>
      <c r="AP140" s="33"/>
      <c r="AQ140" s="33"/>
      <c r="AR140" s="33"/>
      <c r="AS140" s="33"/>
      <c r="AT140" s="33"/>
      <c r="AU140" s="33"/>
      <c r="AV140" s="33"/>
      <c r="AW140" s="33"/>
      <c r="AX140" s="33"/>
      <c r="AY140" s="33"/>
      <c r="AZ140" s="33"/>
      <c r="BA140" s="33"/>
      <c r="BB140" s="33"/>
      <c r="BC140" s="33"/>
      <c r="BD140" s="33"/>
      <c r="BE140" s="33"/>
      <c r="BF140" s="33"/>
      <c r="BG140" s="33"/>
      <c r="BH140" s="33"/>
      <c r="BI140" s="33"/>
      <c r="BJ140" s="33"/>
      <c r="BK140" s="33"/>
    </row>
    <row r="141" spans="1:63" s="32" customFormat="1" ht="30" customHeight="1" x14ac:dyDescent="0.3">
      <c r="A141" s="79">
        <v>8.3000000000000007</v>
      </c>
      <c r="B141" s="70" t="s">
        <v>231</v>
      </c>
      <c r="C141" s="70" t="s">
        <v>278</v>
      </c>
      <c r="D141" s="87">
        <v>0</v>
      </c>
      <c r="E141" s="92">
        <v>45810</v>
      </c>
      <c r="F141" s="92">
        <v>45812</v>
      </c>
      <c r="G141" s="59">
        <f t="shared" si="10"/>
        <v>3</v>
      </c>
      <c r="H141" s="48"/>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3"/>
      <c r="AL141" s="33"/>
      <c r="AM141" s="33"/>
      <c r="AN141" s="33"/>
      <c r="AO141" s="33"/>
      <c r="AP141" s="33"/>
      <c r="AQ141" s="33"/>
      <c r="AR141" s="33"/>
      <c r="AS141" s="33"/>
      <c r="AT141" s="33"/>
      <c r="AU141" s="33"/>
      <c r="AV141" s="33"/>
      <c r="AW141" s="33"/>
      <c r="AX141" s="33"/>
      <c r="AY141" s="33"/>
      <c r="AZ141" s="33"/>
      <c r="BA141" s="33"/>
      <c r="BB141" s="33"/>
      <c r="BC141" s="33"/>
      <c r="BD141" s="33"/>
      <c r="BE141" s="33"/>
      <c r="BF141" s="33"/>
      <c r="BG141" s="33"/>
      <c r="BH141" s="33"/>
      <c r="BI141" s="33"/>
      <c r="BJ141" s="33"/>
      <c r="BK141" s="33"/>
    </row>
    <row r="142" spans="1:63" s="32" customFormat="1" ht="30" customHeight="1" x14ac:dyDescent="0.3">
      <c r="A142" s="79" t="s">
        <v>232</v>
      </c>
      <c r="B142" s="70" t="s">
        <v>233</v>
      </c>
      <c r="C142" s="70" t="s">
        <v>278</v>
      </c>
      <c r="D142" s="87">
        <v>0</v>
      </c>
      <c r="E142" s="92">
        <v>45810</v>
      </c>
      <c r="F142" s="92">
        <v>45811</v>
      </c>
      <c r="G142" s="59">
        <f t="shared" si="10"/>
        <v>2</v>
      </c>
      <c r="H142" s="48"/>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33"/>
      <c r="AJ142" s="33"/>
      <c r="AK142" s="33"/>
      <c r="AL142" s="33"/>
      <c r="AM142" s="33"/>
      <c r="AN142" s="33"/>
      <c r="AO142" s="33"/>
      <c r="AP142" s="33"/>
      <c r="AQ142" s="33"/>
      <c r="AR142" s="33"/>
      <c r="AS142" s="33"/>
      <c r="AT142" s="33"/>
      <c r="AU142" s="33"/>
      <c r="AV142" s="33"/>
      <c r="AW142" s="33"/>
      <c r="AX142" s="33"/>
      <c r="AY142" s="33"/>
      <c r="AZ142" s="33"/>
      <c r="BA142" s="33"/>
      <c r="BB142" s="33"/>
      <c r="BC142" s="33"/>
      <c r="BD142" s="33"/>
      <c r="BE142" s="33"/>
      <c r="BF142" s="33"/>
      <c r="BG142" s="33"/>
      <c r="BH142" s="33"/>
      <c r="BI142" s="33"/>
      <c r="BJ142" s="33"/>
      <c r="BK142" s="33"/>
    </row>
    <row r="143" spans="1:63" s="32" customFormat="1" ht="30" customHeight="1" x14ac:dyDescent="0.3">
      <c r="A143" s="79" t="s">
        <v>234</v>
      </c>
      <c r="B143" s="70" t="s">
        <v>235</v>
      </c>
      <c r="C143" s="70" t="s">
        <v>278</v>
      </c>
      <c r="D143" s="87">
        <v>0</v>
      </c>
      <c r="E143" s="92">
        <v>45812</v>
      </c>
      <c r="F143" s="92">
        <v>45812</v>
      </c>
      <c r="G143" s="59">
        <f t="shared" si="10"/>
        <v>1</v>
      </c>
      <c r="H143" s="48"/>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c r="AK143" s="33"/>
      <c r="AL143" s="33"/>
      <c r="AM143" s="33"/>
      <c r="AN143" s="33"/>
      <c r="AO143" s="33"/>
      <c r="AP143" s="33"/>
      <c r="AQ143" s="33"/>
      <c r="AR143" s="33"/>
      <c r="AS143" s="33"/>
      <c r="AT143" s="33"/>
      <c r="AU143" s="33"/>
      <c r="AV143" s="33"/>
      <c r="AW143" s="33"/>
      <c r="AX143" s="33"/>
      <c r="AY143" s="33"/>
      <c r="AZ143" s="33"/>
      <c r="BA143" s="33"/>
      <c r="BB143" s="33"/>
      <c r="BC143" s="33"/>
      <c r="BD143" s="33"/>
      <c r="BE143" s="33"/>
      <c r="BF143" s="33"/>
      <c r="BG143" s="33"/>
      <c r="BH143" s="33"/>
      <c r="BI143" s="33"/>
      <c r="BJ143" s="33"/>
      <c r="BK143" s="33"/>
    </row>
    <row r="144" spans="1:63" s="32" customFormat="1" ht="30" customHeight="1" x14ac:dyDescent="0.3">
      <c r="A144" s="79">
        <v>8.4</v>
      </c>
      <c r="B144" s="70" t="s">
        <v>236</v>
      </c>
      <c r="C144" s="70" t="s">
        <v>264</v>
      </c>
      <c r="D144" s="87">
        <v>0</v>
      </c>
      <c r="E144" s="92">
        <v>45813</v>
      </c>
      <c r="F144" s="92">
        <v>45814</v>
      </c>
      <c r="G144" s="59">
        <f t="shared" si="10"/>
        <v>2</v>
      </c>
      <c r="H144" s="48"/>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33"/>
      <c r="AJ144" s="33"/>
      <c r="AK144" s="33"/>
      <c r="AL144" s="33"/>
      <c r="AM144" s="33"/>
      <c r="AN144" s="33"/>
      <c r="AO144" s="33"/>
      <c r="AP144" s="33"/>
      <c r="AQ144" s="33"/>
      <c r="AR144" s="33"/>
      <c r="AS144" s="33"/>
      <c r="AT144" s="33"/>
      <c r="AU144" s="33"/>
      <c r="AV144" s="33"/>
      <c r="AW144" s="33"/>
      <c r="AX144" s="33"/>
      <c r="AY144" s="33"/>
      <c r="AZ144" s="33"/>
      <c r="BA144" s="33"/>
      <c r="BB144" s="33"/>
      <c r="BC144" s="33"/>
      <c r="BD144" s="33"/>
      <c r="BE144" s="33"/>
      <c r="BF144" s="33"/>
      <c r="BG144" s="33"/>
      <c r="BH144" s="33"/>
      <c r="BI144" s="33"/>
      <c r="BJ144" s="33"/>
      <c r="BK144" s="33"/>
    </row>
    <row r="145" spans="1:63" s="32" customFormat="1" ht="30" customHeight="1" x14ac:dyDescent="0.3">
      <c r="A145" s="79" t="s">
        <v>237</v>
      </c>
      <c r="B145" s="70" t="s">
        <v>238</v>
      </c>
      <c r="C145" s="70" t="s">
        <v>264</v>
      </c>
      <c r="D145" s="87">
        <v>0</v>
      </c>
      <c r="E145" s="92">
        <v>45813</v>
      </c>
      <c r="F145" s="92">
        <v>45813</v>
      </c>
      <c r="G145" s="59">
        <f t="shared" si="10"/>
        <v>1</v>
      </c>
      <c r="H145" s="48"/>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c r="AP145" s="33"/>
      <c r="AQ145" s="33"/>
      <c r="AR145" s="33"/>
      <c r="AS145" s="33"/>
      <c r="AT145" s="33"/>
      <c r="AU145" s="33"/>
      <c r="AV145" s="33"/>
      <c r="AW145" s="33"/>
      <c r="AX145" s="33"/>
      <c r="AY145" s="33"/>
      <c r="AZ145" s="33"/>
      <c r="BA145" s="33"/>
      <c r="BB145" s="33"/>
      <c r="BC145" s="33"/>
      <c r="BD145" s="33"/>
      <c r="BE145" s="33"/>
      <c r="BF145" s="33"/>
      <c r="BG145" s="33"/>
      <c r="BH145" s="33"/>
      <c r="BI145" s="33"/>
      <c r="BJ145" s="33"/>
      <c r="BK145" s="33"/>
    </row>
    <row r="146" spans="1:63" s="32" customFormat="1" ht="30" customHeight="1" x14ac:dyDescent="0.3">
      <c r="A146" s="79" t="s">
        <v>239</v>
      </c>
      <c r="B146" s="70" t="s">
        <v>240</v>
      </c>
      <c r="C146" s="70" t="s">
        <v>264</v>
      </c>
      <c r="D146" s="87">
        <v>0</v>
      </c>
      <c r="E146" s="92">
        <v>45814</v>
      </c>
      <c r="F146" s="92">
        <v>45814</v>
      </c>
      <c r="G146" s="59">
        <f t="shared" si="10"/>
        <v>1</v>
      </c>
      <c r="H146" s="48"/>
      <c r="I146" s="33"/>
      <c r="J146" s="33"/>
      <c r="K146" s="33"/>
      <c r="L146" s="33"/>
      <c r="M146" s="33"/>
      <c r="N146" s="33"/>
      <c r="O146" s="33"/>
      <c r="P146" s="33"/>
      <c r="Q146" s="33"/>
      <c r="R146" s="33"/>
      <c r="S146" s="33"/>
      <c r="T146" s="33"/>
      <c r="U146" s="33"/>
      <c r="V146" s="33"/>
      <c r="W146" s="33"/>
      <c r="X146" s="33"/>
      <c r="Y146" s="33"/>
      <c r="Z146" s="33"/>
      <c r="AA146" s="33"/>
      <c r="AB146" s="33"/>
      <c r="AC146" s="33"/>
      <c r="AD146" s="33"/>
      <c r="AE146" s="33"/>
      <c r="AF146" s="33"/>
      <c r="AG146" s="33"/>
      <c r="AH146" s="33"/>
      <c r="AI146" s="33"/>
      <c r="AJ146" s="33"/>
      <c r="AK146" s="33"/>
      <c r="AL146" s="33"/>
      <c r="AM146" s="33"/>
      <c r="AN146" s="33"/>
      <c r="AO146" s="33"/>
      <c r="AP146" s="33"/>
      <c r="AQ146" s="33"/>
      <c r="AR146" s="33"/>
      <c r="AS146" s="33"/>
      <c r="AT146" s="33"/>
      <c r="AU146" s="33"/>
      <c r="AV146" s="33"/>
      <c r="AW146" s="33"/>
      <c r="AX146" s="33"/>
      <c r="AY146" s="33"/>
      <c r="AZ146" s="33"/>
      <c r="BA146" s="33"/>
      <c r="BB146" s="33"/>
      <c r="BC146" s="33"/>
      <c r="BD146" s="33"/>
      <c r="BE146" s="33"/>
      <c r="BF146" s="33"/>
      <c r="BG146" s="33"/>
      <c r="BH146" s="33"/>
      <c r="BI146" s="33"/>
      <c r="BJ146" s="33"/>
      <c r="BK146" s="33"/>
    </row>
    <row r="147" spans="1:63" s="32" customFormat="1" ht="30" customHeight="1" x14ac:dyDescent="0.3">
      <c r="A147" s="79"/>
      <c r="B147" s="70"/>
      <c r="C147" s="83"/>
      <c r="D147" s="87"/>
      <c r="E147" s="92"/>
      <c r="F147" s="92"/>
      <c r="G147" s="59" t="str">
        <f t="shared" si="10"/>
        <v/>
      </c>
      <c r="H147" s="48"/>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c r="AM147" s="33"/>
      <c r="AN147" s="33"/>
      <c r="AO147" s="33"/>
      <c r="AP147" s="33"/>
      <c r="AQ147" s="33"/>
      <c r="AR147" s="33"/>
      <c r="AS147" s="33"/>
      <c r="AT147" s="33"/>
      <c r="AU147" s="33"/>
      <c r="AV147" s="33"/>
      <c r="AW147" s="33"/>
      <c r="AX147" s="33"/>
      <c r="AY147" s="33"/>
      <c r="AZ147" s="33"/>
      <c r="BA147" s="33"/>
      <c r="BB147" s="33"/>
      <c r="BC147" s="33"/>
      <c r="BD147" s="33"/>
      <c r="BE147" s="33"/>
      <c r="BF147" s="33"/>
      <c r="BG147" s="33"/>
      <c r="BH147" s="33"/>
      <c r="BI147" s="33"/>
      <c r="BJ147" s="33"/>
      <c r="BK147" s="33"/>
    </row>
    <row r="148" spans="1:63" s="32" customFormat="1" ht="30" customHeight="1" x14ac:dyDescent="0.4">
      <c r="A148" s="79">
        <v>9</v>
      </c>
      <c r="B148" s="76" t="s">
        <v>241</v>
      </c>
      <c r="C148" s="83"/>
      <c r="D148" s="87"/>
      <c r="E148" s="92"/>
      <c r="F148" s="92"/>
      <c r="G148" s="59" t="str">
        <f t="shared" si="10"/>
        <v/>
      </c>
      <c r="H148" s="48"/>
      <c r="I148" s="33"/>
      <c r="J148" s="33"/>
      <c r="K148" s="33"/>
      <c r="L148" s="33"/>
      <c r="M148" s="33"/>
      <c r="N148" s="33"/>
      <c r="O148" s="33"/>
      <c r="P148" s="33"/>
      <c r="Q148" s="33"/>
      <c r="R148" s="33"/>
      <c r="S148" s="33"/>
      <c r="T148" s="33"/>
      <c r="U148" s="33"/>
      <c r="V148" s="33"/>
      <c r="W148" s="33"/>
      <c r="X148" s="33"/>
      <c r="Y148" s="33"/>
      <c r="Z148" s="33"/>
      <c r="AA148" s="33"/>
      <c r="AB148" s="33"/>
      <c r="AC148" s="33"/>
      <c r="AD148" s="33"/>
      <c r="AE148" s="33"/>
      <c r="AF148" s="33"/>
      <c r="AG148" s="33"/>
      <c r="AH148" s="33"/>
      <c r="AI148" s="33"/>
      <c r="AJ148" s="33"/>
      <c r="AK148" s="33"/>
      <c r="AL148" s="33"/>
      <c r="AM148" s="33"/>
      <c r="AN148" s="33"/>
      <c r="AO148" s="33"/>
      <c r="AP148" s="33"/>
      <c r="AQ148" s="33"/>
      <c r="AR148" s="33"/>
      <c r="AS148" s="33"/>
      <c r="AT148" s="33"/>
      <c r="AU148" s="33"/>
      <c r="AV148" s="33"/>
      <c r="AW148" s="33"/>
      <c r="AX148" s="33"/>
      <c r="AY148" s="33"/>
      <c r="AZ148" s="33"/>
      <c r="BA148" s="33"/>
      <c r="BB148" s="33"/>
      <c r="BC148" s="33"/>
      <c r="BD148" s="33"/>
      <c r="BE148" s="33"/>
      <c r="BF148" s="33"/>
      <c r="BG148" s="33"/>
      <c r="BH148" s="33"/>
      <c r="BI148" s="33"/>
      <c r="BJ148" s="33"/>
      <c r="BK148" s="33"/>
    </row>
    <row r="149" spans="1:63" s="32" customFormat="1" ht="30" customHeight="1" x14ac:dyDescent="0.3">
      <c r="A149" s="79">
        <v>9.1</v>
      </c>
      <c r="B149" s="70" t="s">
        <v>242</v>
      </c>
      <c r="C149" s="70" t="s">
        <v>262</v>
      </c>
      <c r="D149" s="87">
        <v>0</v>
      </c>
      <c r="E149" s="92">
        <v>45811</v>
      </c>
      <c r="F149" s="92">
        <v>45812</v>
      </c>
      <c r="G149" s="59">
        <f t="shared" si="10"/>
        <v>2</v>
      </c>
      <c r="H149" s="48"/>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c r="AR149" s="33"/>
      <c r="AS149" s="33"/>
      <c r="AT149" s="33"/>
      <c r="AU149" s="33"/>
      <c r="AV149" s="33"/>
      <c r="AW149" s="33"/>
      <c r="AX149" s="33"/>
      <c r="AY149" s="33"/>
      <c r="AZ149" s="33"/>
      <c r="BA149" s="33"/>
      <c r="BB149" s="33"/>
      <c r="BC149" s="33"/>
      <c r="BD149" s="33"/>
      <c r="BE149" s="33"/>
      <c r="BF149" s="33"/>
      <c r="BG149" s="33"/>
      <c r="BH149" s="33"/>
      <c r="BI149" s="33"/>
      <c r="BJ149" s="33"/>
      <c r="BK149" s="33"/>
    </row>
    <row r="150" spans="1:63" s="32" customFormat="1" ht="30" customHeight="1" x14ac:dyDescent="0.3">
      <c r="A150" s="79" t="s">
        <v>243</v>
      </c>
      <c r="B150" s="70" t="s">
        <v>244</v>
      </c>
      <c r="C150" s="70" t="s">
        <v>262</v>
      </c>
      <c r="D150" s="87">
        <v>0</v>
      </c>
      <c r="E150" s="92">
        <v>45811</v>
      </c>
      <c r="F150" s="92">
        <v>45811</v>
      </c>
      <c r="G150" s="59">
        <f t="shared" si="10"/>
        <v>1</v>
      </c>
      <c r="H150" s="48"/>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I150" s="33"/>
      <c r="AJ150" s="33"/>
      <c r="AK150" s="33"/>
      <c r="AL150" s="33"/>
      <c r="AM150" s="33"/>
      <c r="AN150" s="33"/>
      <c r="AO150" s="33"/>
      <c r="AP150" s="33"/>
      <c r="AQ150" s="33"/>
      <c r="AR150" s="33"/>
      <c r="AS150" s="33"/>
      <c r="AT150" s="33"/>
      <c r="AU150" s="33"/>
      <c r="AV150" s="33"/>
      <c r="AW150" s="33"/>
      <c r="AX150" s="33"/>
      <c r="AY150" s="33"/>
      <c r="AZ150" s="33"/>
      <c r="BA150" s="33"/>
      <c r="BB150" s="33"/>
      <c r="BC150" s="33"/>
      <c r="BD150" s="33"/>
      <c r="BE150" s="33"/>
      <c r="BF150" s="33"/>
      <c r="BG150" s="33"/>
      <c r="BH150" s="33"/>
      <c r="BI150" s="33"/>
      <c r="BJ150" s="33"/>
      <c r="BK150" s="33"/>
    </row>
    <row r="151" spans="1:63" s="32" customFormat="1" ht="30" customHeight="1" x14ac:dyDescent="0.3">
      <c r="A151" s="79" t="s">
        <v>245</v>
      </c>
      <c r="B151" s="70" t="s">
        <v>246</v>
      </c>
      <c r="C151" s="70" t="s">
        <v>262</v>
      </c>
      <c r="D151" s="87">
        <v>0</v>
      </c>
      <c r="E151" s="92">
        <v>45812</v>
      </c>
      <c r="F151" s="92">
        <v>45812</v>
      </c>
      <c r="G151" s="59">
        <f t="shared" si="10"/>
        <v>1</v>
      </c>
      <c r="H151" s="48"/>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c r="AP151" s="33"/>
      <c r="AQ151" s="33"/>
      <c r="AR151" s="33"/>
      <c r="AS151" s="33"/>
      <c r="AT151" s="33"/>
      <c r="AU151" s="33"/>
      <c r="AV151" s="33"/>
      <c r="AW151" s="33"/>
      <c r="AX151" s="33"/>
      <c r="AY151" s="33"/>
      <c r="AZ151" s="33"/>
      <c r="BA151" s="33"/>
      <c r="BB151" s="33"/>
      <c r="BC151" s="33"/>
      <c r="BD151" s="33"/>
      <c r="BE151" s="33"/>
      <c r="BF151" s="33"/>
      <c r="BG151" s="33"/>
      <c r="BH151" s="33"/>
      <c r="BI151" s="33"/>
      <c r="BJ151" s="33"/>
      <c r="BK151" s="33"/>
    </row>
    <row r="152" spans="1:63" s="32" customFormat="1" ht="30" customHeight="1" x14ac:dyDescent="0.3">
      <c r="A152" s="79">
        <v>9.1999999999999993</v>
      </c>
      <c r="B152" s="70" t="s">
        <v>247</v>
      </c>
      <c r="C152" s="70" t="s">
        <v>262</v>
      </c>
      <c r="D152" s="87">
        <v>0</v>
      </c>
      <c r="E152" s="92">
        <v>45813</v>
      </c>
      <c r="F152" s="92">
        <v>45813</v>
      </c>
      <c r="G152" s="59">
        <f t="shared" si="10"/>
        <v>1</v>
      </c>
      <c r="H152" s="48"/>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3"/>
      <c r="AF152" s="33"/>
      <c r="AG152" s="33"/>
      <c r="AH152" s="33"/>
      <c r="AI152" s="33"/>
      <c r="AJ152" s="33"/>
      <c r="AK152" s="33"/>
      <c r="AL152" s="33"/>
      <c r="AM152" s="33"/>
      <c r="AN152" s="33"/>
      <c r="AO152" s="33"/>
      <c r="AP152" s="33"/>
      <c r="AQ152" s="33"/>
      <c r="AR152" s="33"/>
      <c r="AS152" s="33"/>
      <c r="AT152" s="33"/>
      <c r="AU152" s="33"/>
      <c r="AV152" s="33"/>
      <c r="AW152" s="33"/>
      <c r="AX152" s="33"/>
      <c r="AY152" s="33"/>
      <c r="AZ152" s="33"/>
      <c r="BA152" s="33"/>
      <c r="BB152" s="33"/>
      <c r="BC152" s="33"/>
      <c r="BD152" s="33"/>
      <c r="BE152" s="33"/>
      <c r="BF152" s="33"/>
      <c r="BG152" s="33"/>
      <c r="BH152" s="33"/>
      <c r="BI152" s="33"/>
      <c r="BJ152" s="33"/>
      <c r="BK152" s="33"/>
    </row>
    <row r="153" spans="1:63" s="32" customFormat="1" ht="30" customHeight="1" x14ac:dyDescent="0.3">
      <c r="A153" s="79" t="s">
        <v>248</v>
      </c>
      <c r="B153" s="70" t="s">
        <v>249</v>
      </c>
      <c r="C153" s="70" t="s">
        <v>262</v>
      </c>
      <c r="D153" s="87">
        <v>0</v>
      </c>
      <c r="E153" s="92">
        <v>45813</v>
      </c>
      <c r="F153" s="92">
        <v>45813</v>
      </c>
      <c r="G153" s="59">
        <f t="shared" si="10"/>
        <v>1</v>
      </c>
      <c r="H153" s="48"/>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c r="AJ153" s="33"/>
      <c r="AK153" s="33"/>
      <c r="AL153" s="33"/>
      <c r="AM153" s="33"/>
      <c r="AN153" s="33"/>
      <c r="AO153" s="33"/>
      <c r="AP153" s="33"/>
      <c r="AQ153" s="33"/>
      <c r="AR153" s="33"/>
      <c r="AS153" s="33"/>
      <c r="AT153" s="33"/>
      <c r="AU153" s="33"/>
      <c r="AV153" s="33"/>
      <c r="AW153" s="33"/>
      <c r="AX153" s="33"/>
      <c r="AY153" s="33"/>
      <c r="AZ153" s="33"/>
      <c r="BA153" s="33"/>
      <c r="BB153" s="33"/>
      <c r="BC153" s="33"/>
      <c r="BD153" s="33"/>
      <c r="BE153" s="33"/>
      <c r="BF153" s="33"/>
      <c r="BG153" s="33"/>
      <c r="BH153" s="33"/>
      <c r="BI153" s="33"/>
      <c r="BJ153" s="33"/>
      <c r="BK153" s="33"/>
    </row>
    <row r="154" spans="1:63" s="32" customFormat="1" ht="30" customHeight="1" x14ac:dyDescent="0.3">
      <c r="A154" s="79" t="s">
        <v>250</v>
      </c>
      <c r="B154" s="70" t="s">
        <v>251</v>
      </c>
      <c r="C154" s="70" t="s">
        <v>262</v>
      </c>
      <c r="D154" s="87">
        <v>0</v>
      </c>
      <c r="E154" s="92">
        <v>45813</v>
      </c>
      <c r="F154" s="92">
        <v>45813</v>
      </c>
      <c r="G154" s="59">
        <f t="shared" si="10"/>
        <v>1</v>
      </c>
      <c r="H154" s="48"/>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c r="AH154" s="33"/>
      <c r="AI154" s="33"/>
      <c r="AJ154" s="33"/>
      <c r="AK154" s="33"/>
      <c r="AL154" s="33"/>
      <c r="AM154" s="33"/>
      <c r="AN154" s="33"/>
      <c r="AO154" s="33"/>
      <c r="AP154" s="33"/>
      <c r="AQ154" s="33"/>
      <c r="AR154" s="33"/>
      <c r="AS154" s="33"/>
      <c r="AT154" s="33"/>
      <c r="AU154" s="33"/>
      <c r="AV154" s="33"/>
      <c r="AW154" s="33"/>
      <c r="AX154" s="33"/>
      <c r="AY154" s="33"/>
      <c r="AZ154" s="33"/>
      <c r="BA154" s="33"/>
      <c r="BB154" s="33"/>
      <c r="BC154" s="33"/>
      <c r="BD154" s="33"/>
      <c r="BE154" s="33"/>
      <c r="BF154" s="33"/>
      <c r="BG154" s="33"/>
      <c r="BH154" s="33"/>
      <c r="BI154" s="33"/>
      <c r="BJ154" s="33"/>
      <c r="BK154" s="33"/>
    </row>
    <row r="155" spans="1:63" s="32" customFormat="1" ht="30" customHeight="1" x14ac:dyDescent="0.3">
      <c r="A155" s="79">
        <v>9.3000000000000007</v>
      </c>
      <c r="B155" s="70" t="s">
        <v>252</v>
      </c>
      <c r="C155" s="70" t="s">
        <v>262</v>
      </c>
      <c r="D155" s="87">
        <v>0</v>
      </c>
      <c r="E155" s="92">
        <v>45813</v>
      </c>
      <c r="F155" s="92">
        <v>45814</v>
      </c>
      <c r="G155" s="59">
        <f t="shared" si="10"/>
        <v>2</v>
      </c>
      <c r="H155" s="48"/>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c r="AZ155" s="33"/>
      <c r="BA155" s="33"/>
      <c r="BB155" s="33"/>
      <c r="BC155" s="33"/>
      <c r="BD155" s="33"/>
      <c r="BE155" s="33"/>
      <c r="BF155" s="33"/>
      <c r="BG155" s="33"/>
      <c r="BH155" s="33"/>
      <c r="BI155" s="33"/>
      <c r="BJ155" s="33"/>
      <c r="BK155" s="33"/>
    </row>
    <row r="156" spans="1:63" s="32" customFormat="1" ht="30" customHeight="1" x14ac:dyDescent="0.3">
      <c r="A156" s="79" t="s">
        <v>253</v>
      </c>
      <c r="B156" s="70" t="s">
        <v>254</v>
      </c>
      <c r="C156" s="70" t="s">
        <v>262</v>
      </c>
      <c r="D156" s="87">
        <v>0</v>
      </c>
      <c r="E156" s="92">
        <v>45813</v>
      </c>
      <c r="F156" s="92">
        <v>45813</v>
      </c>
      <c r="G156" s="59">
        <f t="shared" si="10"/>
        <v>1</v>
      </c>
      <c r="H156" s="48"/>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c r="AI156" s="33"/>
      <c r="AJ156" s="33"/>
      <c r="AK156" s="33"/>
      <c r="AL156" s="33"/>
      <c r="AM156" s="33"/>
      <c r="AN156" s="33"/>
      <c r="AO156" s="33"/>
      <c r="AP156" s="33"/>
      <c r="AQ156" s="33"/>
      <c r="AR156" s="33"/>
      <c r="AS156" s="33"/>
      <c r="AT156" s="33"/>
      <c r="AU156" s="33"/>
      <c r="AV156" s="33"/>
      <c r="AW156" s="33"/>
      <c r="AX156" s="33"/>
      <c r="AY156" s="33"/>
      <c r="AZ156" s="33"/>
      <c r="BA156" s="33"/>
      <c r="BB156" s="33"/>
      <c r="BC156" s="33"/>
      <c r="BD156" s="33"/>
      <c r="BE156" s="33"/>
      <c r="BF156" s="33"/>
      <c r="BG156" s="33"/>
      <c r="BH156" s="33"/>
      <c r="BI156" s="33"/>
      <c r="BJ156" s="33"/>
      <c r="BK156" s="33"/>
    </row>
    <row r="157" spans="1:63" s="32" customFormat="1" ht="30" customHeight="1" x14ac:dyDescent="0.3">
      <c r="A157" s="79" t="s">
        <v>255</v>
      </c>
      <c r="B157" s="70" t="s">
        <v>256</v>
      </c>
      <c r="C157" s="70" t="s">
        <v>262</v>
      </c>
      <c r="D157" s="87">
        <v>0</v>
      </c>
      <c r="E157" s="92">
        <v>45814</v>
      </c>
      <c r="F157" s="92">
        <v>45814</v>
      </c>
      <c r="G157" s="59">
        <f t="shared" si="10"/>
        <v>1</v>
      </c>
      <c r="H157" s="48"/>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I157" s="33"/>
      <c r="AJ157" s="33"/>
      <c r="AK157" s="33"/>
      <c r="AL157" s="33"/>
      <c r="AM157" s="33"/>
      <c r="AN157" s="33"/>
      <c r="AO157" s="33"/>
      <c r="AP157" s="33"/>
      <c r="AQ157" s="33"/>
      <c r="AR157" s="33"/>
      <c r="AS157" s="33"/>
      <c r="AT157" s="33"/>
      <c r="AU157" s="33"/>
      <c r="AV157" s="33"/>
      <c r="AW157" s="33"/>
      <c r="AX157" s="33"/>
      <c r="AY157" s="33"/>
      <c r="AZ157" s="33"/>
      <c r="BA157" s="33"/>
      <c r="BB157" s="33"/>
      <c r="BC157" s="33"/>
      <c r="BD157" s="33"/>
      <c r="BE157" s="33"/>
      <c r="BF157" s="33"/>
      <c r="BG157" s="33"/>
      <c r="BH157" s="33"/>
      <c r="BI157" s="33"/>
      <c r="BJ157" s="33"/>
      <c r="BK157" s="33"/>
    </row>
    <row r="158" spans="1:63" s="32" customFormat="1" ht="30" customHeight="1" x14ac:dyDescent="0.3">
      <c r="A158" s="79">
        <v>9.4</v>
      </c>
      <c r="B158" s="70" t="s">
        <v>257</v>
      </c>
      <c r="C158" s="70" t="s">
        <v>262</v>
      </c>
      <c r="D158" s="87">
        <v>0</v>
      </c>
      <c r="E158" s="92">
        <v>45814</v>
      </c>
      <c r="F158" s="92">
        <v>45814</v>
      </c>
      <c r="G158" s="59">
        <f t="shared" si="10"/>
        <v>1</v>
      </c>
      <c r="H158" s="48"/>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c r="AG158" s="33"/>
      <c r="AH158" s="33"/>
      <c r="AI158" s="33"/>
      <c r="AJ158" s="33"/>
      <c r="AK158" s="33"/>
      <c r="AL158" s="33"/>
      <c r="AM158" s="33"/>
      <c r="AN158" s="33"/>
      <c r="AO158" s="33"/>
      <c r="AP158" s="33"/>
      <c r="AQ158" s="33"/>
      <c r="AR158" s="33"/>
      <c r="AS158" s="33"/>
      <c r="AT158" s="33"/>
      <c r="AU158" s="33"/>
      <c r="AV158" s="33"/>
      <c r="AW158" s="33"/>
      <c r="AX158" s="33"/>
      <c r="AY158" s="33"/>
      <c r="AZ158" s="33"/>
      <c r="BA158" s="33"/>
      <c r="BB158" s="33"/>
      <c r="BC158" s="33"/>
      <c r="BD158" s="33"/>
      <c r="BE158" s="33"/>
      <c r="BF158" s="33"/>
      <c r="BG158" s="33"/>
      <c r="BH158" s="33"/>
      <c r="BI158" s="33"/>
      <c r="BJ158" s="33"/>
      <c r="BK158" s="33"/>
    </row>
    <row r="159" spans="1:63" s="32" customFormat="1" ht="30" customHeight="1" x14ac:dyDescent="0.3">
      <c r="A159" s="79" t="s">
        <v>258</v>
      </c>
      <c r="B159" s="70" t="s">
        <v>259</v>
      </c>
      <c r="C159" s="70" t="s">
        <v>262</v>
      </c>
      <c r="D159" s="87">
        <v>0</v>
      </c>
      <c r="E159" s="92">
        <v>45814</v>
      </c>
      <c r="F159" s="92">
        <v>45814</v>
      </c>
      <c r="G159" s="59">
        <f t="shared" si="10"/>
        <v>1</v>
      </c>
      <c r="H159" s="48"/>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I159" s="33"/>
      <c r="AJ159" s="33"/>
      <c r="AK159" s="33"/>
      <c r="AL159" s="33"/>
      <c r="AM159" s="33"/>
      <c r="AN159" s="33"/>
      <c r="AO159" s="33"/>
      <c r="AP159" s="33"/>
      <c r="AQ159" s="33"/>
      <c r="AR159" s="33"/>
      <c r="AS159" s="33"/>
      <c r="AT159" s="33"/>
      <c r="AU159" s="33"/>
      <c r="AV159" s="33"/>
      <c r="AW159" s="33"/>
      <c r="AX159" s="33"/>
      <c r="AY159" s="33"/>
      <c r="AZ159" s="33"/>
      <c r="BA159" s="33"/>
      <c r="BB159" s="33"/>
      <c r="BC159" s="33"/>
      <c r="BD159" s="33"/>
      <c r="BE159" s="33"/>
      <c r="BF159" s="33"/>
      <c r="BG159" s="33"/>
      <c r="BH159" s="33"/>
      <c r="BI159" s="33"/>
      <c r="BJ159" s="33"/>
      <c r="BK159" s="33"/>
    </row>
    <row r="160" spans="1:63" s="32" customFormat="1" ht="30" customHeight="1" x14ac:dyDescent="0.3">
      <c r="A160" s="79" t="s">
        <v>260</v>
      </c>
      <c r="B160" s="70" t="s">
        <v>261</v>
      </c>
      <c r="C160" s="70" t="s">
        <v>262</v>
      </c>
      <c r="D160" s="87">
        <v>0</v>
      </c>
      <c r="E160" s="92">
        <v>45814</v>
      </c>
      <c r="F160" s="92">
        <v>45814</v>
      </c>
      <c r="G160" s="59">
        <f t="shared" si="10"/>
        <v>1</v>
      </c>
      <c r="H160" s="48"/>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c r="AG160" s="33"/>
      <c r="AH160" s="33"/>
      <c r="AI160" s="33"/>
      <c r="AJ160" s="33"/>
      <c r="AK160" s="33"/>
      <c r="AL160" s="33"/>
      <c r="AM160" s="33"/>
      <c r="AN160" s="33"/>
      <c r="AO160" s="33"/>
      <c r="AP160" s="33"/>
      <c r="AQ160" s="33"/>
      <c r="AR160" s="33"/>
      <c r="AS160" s="33"/>
      <c r="AT160" s="33"/>
      <c r="AU160" s="33"/>
      <c r="AV160" s="33"/>
      <c r="AW160" s="33"/>
      <c r="AX160" s="33"/>
      <c r="AY160" s="33"/>
      <c r="AZ160" s="33"/>
      <c r="BA160" s="33"/>
      <c r="BB160" s="33"/>
      <c r="BC160" s="33"/>
      <c r="BD160" s="33"/>
      <c r="BE160" s="33"/>
      <c r="BF160" s="33"/>
      <c r="BG160" s="33"/>
      <c r="BH160" s="33"/>
      <c r="BI160" s="33"/>
      <c r="BJ160" s="33"/>
      <c r="BK160" s="33"/>
    </row>
    <row r="161" spans="1:63" s="32" customFormat="1" ht="30" customHeight="1" x14ac:dyDescent="0.3">
      <c r="A161" s="50"/>
      <c r="B161" s="60"/>
      <c r="C161" s="61"/>
      <c r="D161" s="62"/>
      <c r="E161" s="63"/>
      <c r="F161" s="63"/>
      <c r="G161" s="59" t="str">
        <f t="shared" si="5"/>
        <v/>
      </c>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31"/>
      <c r="AQ161" s="31"/>
      <c r="AR161" s="31"/>
      <c r="AS161" s="31"/>
      <c r="AT161" s="31"/>
      <c r="AU161" s="31"/>
      <c r="AV161" s="31"/>
      <c r="AW161" s="31"/>
      <c r="AX161" s="31"/>
      <c r="AY161" s="31"/>
      <c r="AZ161" s="31"/>
      <c r="BA161" s="31"/>
      <c r="BB161" s="31"/>
      <c r="BC161" s="31"/>
      <c r="BD161" s="31"/>
      <c r="BE161" s="31"/>
      <c r="BF161" s="31"/>
      <c r="BG161" s="31"/>
      <c r="BH161" s="31"/>
      <c r="BI161" s="31"/>
      <c r="BJ161" s="31"/>
      <c r="BK161" s="31"/>
    </row>
    <row r="162" spans="1:63" s="32" customFormat="1" ht="30" customHeight="1" x14ac:dyDescent="0.3">
      <c r="A162" s="49"/>
      <c r="B162" s="64" t="s">
        <v>0</v>
      </c>
      <c r="C162" s="65"/>
      <c r="D162" s="66"/>
      <c r="E162" s="67"/>
      <c r="F162" s="68"/>
      <c r="G162" s="69" t="str">
        <f t="shared" si="5"/>
        <v/>
      </c>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c r="AP162" s="37"/>
      <c r="AQ162" s="37"/>
      <c r="AR162" s="37"/>
      <c r="AS162" s="37"/>
      <c r="AT162" s="37"/>
      <c r="AU162" s="37"/>
      <c r="AV162" s="37"/>
      <c r="AW162" s="37"/>
      <c r="AX162" s="37"/>
      <c r="AY162" s="37"/>
      <c r="AZ162" s="37"/>
      <c r="BA162" s="37"/>
      <c r="BB162" s="37"/>
      <c r="BC162" s="37"/>
      <c r="BD162" s="37"/>
      <c r="BE162" s="37"/>
      <c r="BF162" s="37"/>
      <c r="BG162" s="37"/>
      <c r="BH162" s="37"/>
      <c r="BI162" s="37"/>
      <c r="BJ162" s="37"/>
      <c r="BK162" s="37"/>
    </row>
    <row r="163" spans="1:63" ht="30" customHeight="1" x14ac:dyDescent="0.3">
      <c r="A163" s="50"/>
      <c r="B163" s="70"/>
      <c r="C163" s="70"/>
      <c r="D163" s="70"/>
      <c r="E163" s="71"/>
      <c r="F163" s="70"/>
      <c r="G163" s="70"/>
    </row>
    <row r="164" spans="1:63" ht="30" customHeight="1" x14ac:dyDescent="0.3">
      <c r="A164" s="50"/>
      <c r="B164" s="70"/>
      <c r="C164" s="72"/>
      <c r="D164" s="70"/>
      <c r="E164" s="71"/>
      <c r="F164" s="73"/>
      <c r="G164" s="70"/>
    </row>
    <row r="165" spans="1:63" ht="30" customHeight="1" x14ac:dyDescent="0.3">
      <c r="A165" s="50"/>
      <c r="B165" s="70"/>
      <c r="C165" s="74"/>
      <c r="D165" s="70"/>
      <c r="E165" s="71"/>
      <c r="F165" s="70"/>
      <c r="G165" s="70"/>
    </row>
  </sheetData>
  <mergeCells count="19">
    <mergeCell ref="BE4:BK4"/>
    <mergeCell ref="H4:N4"/>
    <mergeCell ref="O4:U4"/>
    <mergeCell ref="V4:AB4"/>
    <mergeCell ref="AC4:AI4"/>
    <mergeCell ref="AJ4:AP4"/>
    <mergeCell ref="AQ4:AW4"/>
    <mergeCell ref="AX4:BD4"/>
    <mergeCell ref="F5:F6"/>
    <mergeCell ref="P2:Y2"/>
    <mergeCell ref="P1:Y1"/>
    <mergeCell ref="H1:N1"/>
    <mergeCell ref="H2:N2"/>
    <mergeCell ref="G5:G6"/>
    <mergeCell ref="A5:A6"/>
    <mergeCell ref="B5:B6"/>
    <mergeCell ref="C5:C6"/>
    <mergeCell ref="D5:D6"/>
    <mergeCell ref="E5:E6"/>
  </mergeCells>
  <conditionalFormatting sqref="D7:D8 D10:D162">
    <cfRule type="dataBar" priority="24">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H4:BK160">
    <cfRule type="expression" dxfId="8" priority="2">
      <formula>AND(TODAY()&gt;=H$5, TODAY()&lt;I$5)</formula>
    </cfRule>
  </conditionalFormatting>
  <conditionalFormatting sqref="H9:BK13">
    <cfRule type="expression" dxfId="7" priority="7">
      <formula>AND(task_start&lt;=H$5,ROUNDDOWN((task_end-task_start+1)*task_progress,0)+task_start-1&gt;=H$5)</formula>
    </cfRule>
    <cfRule type="expression" dxfId="6" priority="8" stopIfTrue="1">
      <formula>AND(task_end&gt;=H$5,task_start&lt;I$5)</formula>
    </cfRule>
  </conditionalFormatting>
  <conditionalFormatting sqref="H15:BK19">
    <cfRule type="expression" dxfId="5" priority="5">
      <formula>AND(task_start&lt;=H$5,ROUNDDOWN((task_end-task_start+1)*task_progress,0)+task_start-1&gt;=H$5)</formula>
    </cfRule>
    <cfRule type="expression" dxfId="4" priority="6" stopIfTrue="1">
      <formula>AND(task_end&gt;=H$5,task_start&lt;I$5)</formula>
    </cfRule>
  </conditionalFormatting>
  <conditionalFormatting sqref="H21:BK25">
    <cfRule type="expression" dxfId="3" priority="3">
      <formula>AND(task_start&lt;=H$5,ROUNDDOWN((task_end-task_start+1)*task_progress,0)+task_start-1&gt;=H$5)</formula>
    </cfRule>
    <cfRule type="expression" dxfId="2" priority="4" stopIfTrue="1">
      <formula>AND(task_end&gt;=H$5,task_start&lt;I$5)</formula>
    </cfRule>
  </conditionalFormatting>
  <conditionalFormatting sqref="H27:BK160">
    <cfRule type="expression" dxfId="1" priority="37">
      <formula>AND(task_start&lt;=H$5,ROUNDDOWN((task_end-task_start+1)*task_progress,0)+task_start-1&gt;=H$5)</formula>
    </cfRule>
    <cfRule type="expression" dxfId="0" priority="38" stopIfTrue="1">
      <formula>AND(task_end&gt;=H$5,task_start&lt;I$5)</formula>
    </cfRule>
  </conditionalFormatting>
  <dataValidations count="13">
    <dataValidation type="whole" operator="greaterThanOrEqual" allowBlank="1" showInputMessage="1" promptTitle="Display Week" prompt="Changing this number will scroll the Gantt Chart view." sqref="P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162"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D7:D8 D10:D162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2.5" x14ac:dyDescent="0.25"/>
  <cols>
    <col min="1" max="1" width="87" style="3" customWidth="1"/>
    <col min="2" max="16384" width="9" style="1"/>
  </cols>
  <sheetData>
    <row r="1" spans="1:2" ht="46.5" customHeight="1" x14ac:dyDescent="0.25"/>
    <row r="2" spans="1:2" s="5" customFormat="1" ht="15.5" x14ac:dyDescent="0.3">
      <c r="A2" s="40" t="s">
        <v>8</v>
      </c>
      <c r="B2" s="4"/>
    </row>
    <row r="3" spans="1:2" s="7" customFormat="1" ht="27" customHeight="1" x14ac:dyDescent="0.3">
      <c r="A3" s="41"/>
      <c r="B3" s="8"/>
    </row>
    <row r="4" spans="1:2" s="6" customFormat="1" ht="30.5" x14ac:dyDescent="0.85">
      <c r="A4" s="42" t="s">
        <v>7</v>
      </c>
    </row>
    <row r="5" spans="1:2" ht="74.25" customHeight="1" x14ac:dyDescent="0.25">
      <c r="A5" s="43" t="s">
        <v>15</v>
      </c>
    </row>
    <row r="6" spans="1:2" ht="26.25" customHeight="1" x14ac:dyDescent="0.25">
      <c r="A6" s="42" t="s">
        <v>18</v>
      </c>
    </row>
    <row r="7" spans="1:2" s="3" customFormat="1" ht="205" customHeight="1" x14ac:dyDescent="0.3">
      <c r="A7" s="44" t="s">
        <v>17</v>
      </c>
    </row>
    <row r="8" spans="1:2" s="6" customFormat="1" ht="30.5" x14ac:dyDescent="0.85">
      <c r="A8" s="42" t="s">
        <v>9</v>
      </c>
    </row>
    <row r="9" spans="1:2" ht="42" x14ac:dyDescent="0.25">
      <c r="A9" s="43" t="s">
        <v>16</v>
      </c>
    </row>
    <row r="10" spans="1:2" s="3" customFormat="1" ht="28" customHeight="1" x14ac:dyDescent="0.3">
      <c r="A10" s="45" t="s">
        <v>14</v>
      </c>
    </row>
    <row r="11" spans="1:2" s="6" customFormat="1" ht="30.5" x14ac:dyDescent="0.85">
      <c r="A11" s="42" t="s">
        <v>6</v>
      </c>
    </row>
    <row r="12" spans="1:2" ht="28" x14ac:dyDescent="0.25">
      <c r="A12" s="43" t="s">
        <v>13</v>
      </c>
    </row>
    <row r="13" spans="1:2" s="3" customFormat="1" ht="28" customHeight="1" x14ac:dyDescent="0.3">
      <c r="A13" s="45" t="s">
        <v>2</v>
      </c>
    </row>
    <row r="14" spans="1:2" s="6" customFormat="1" ht="30.5" x14ac:dyDescent="0.85">
      <c r="A14" s="42" t="s">
        <v>10</v>
      </c>
    </row>
    <row r="15" spans="1:2" ht="75" customHeight="1" x14ac:dyDescent="0.25">
      <c r="A15" s="43" t="s">
        <v>11</v>
      </c>
    </row>
    <row r="16" spans="1:2" ht="70" x14ac:dyDescent="0.25">
      <c r="A16" s="43" t="s">
        <v>12</v>
      </c>
    </row>
    <row r="17" spans="1:1" x14ac:dyDescent="0.25">
      <c r="A17" s="46"/>
    </row>
    <row r="18" spans="1:1" x14ac:dyDescent="0.25">
      <c r="A18" s="46"/>
    </row>
    <row r="19" spans="1:1" x14ac:dyDescent="0.25">
      <c r="A19" s="46"/>
    </row>
    <row r="20" spans="1:1" x14ac:dyDescent="0.25">
      <c r="A20" s="46"/>
    </row>
    <row r="21" spans="1:1" x14ac:dyDescent="0.25">
      <c r="A21" s="46"/>
    </row>
    <row r="22" spans="1:1" x14ac:dyDescent="0.25">
      <c r="A22" s="46"/>
    </row>
    <row r="23" spans="1:1" x14ac:dyDescent="0.25">
      <c r="A23" s="46"/>
    </row>
    <row r="24" spans="1:1" x14ac:dyDescent="0.25">
      <c r="A24" s="46"/>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customXml/itemProps3.xml><?xml version="1.0" encoding="utf-8"?>
<ds:datastoreItem xmlns:ds="http://schemas.openxmlformats.org/officeDocument/2006/customXml" ds:itemID="{97245281-08F3-4104-84BD-39F3D8CFB195}">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Sana Rehman</dc:creator>
  <dc:description/>
  <cp:lastModifiedBy>Sana Rehman</cp:lastModifiedBy>
  <dcterms:created xsi:type="dcterms:W3CDTF">2022-03-11T22:41:12Z</dcterms:created>
  <dcterms:modified xsi:type="dcterms:W3CDTF">2025-04-23T00:02:54Z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